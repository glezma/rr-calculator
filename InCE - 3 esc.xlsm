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cloud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functionGroups builtInGroupCount="18"/>
  <definedNames>
    <definedName name="buckets_label">Datos!$F$4:$U$4</definedName>
    <definedName name="buckets_num">Datos!$F$6:$U$6</definedName>
    <definedName name="gap_me">Datos!$W$18:$AL$20</definedName>
    <definedName name="gap_mn">Datos!$F$18:$U$20</definedName>
    <definedName name="pe">Datos!$D$18:$D$20</definedName>
    <definedName name="scen">Datos!$A$18:$A$20</definedName>
    <definedName name="tc">Datos!$C$18:$C$20</definedName>
    <definedName name="tt_me">Datos!$BE$18:$BT$20</definedName>
    <definedName name="tt_mn">Datos!$AN$18:$BC$20</definedName>
  </definedNames>
  <calcPr calcId="162913"/>
</workbook>
</file>

<file path=xl/calcChain.xml><?xml version="1.0" encoding="utf-8"?>
<calcChain xmlns="http://schemas.openxmlformats.org/spreadsheetml/2006/main">
  <c r="A18" i="1" l="1"/>
  <c r="A33" i="1" l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7" i="1"/>
  <c r="A16" i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<sst xmlns="http://schemas.openxmlformats.org/spreadsheetml/2006/main" count="350" uniqueCount="100">
  <si>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</si>
  <si>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</si>
  <si>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</si>
  <si>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</si>
  <si>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</si>
  <si>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</si>
  <si>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</si>
  <si>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</si>
  <si>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</si>
  <si>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</si>
  <si>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</si>
  <si>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</si>
  <si>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</si>
  <si>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</si>
  <si>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</si>
  <si>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</si>
  <si>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</si>
  <si>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</si>
  <si>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</si>
  <si>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</si>
  <si>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</si>
  <si>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</si>
  <si>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</si>
  <si>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</si>
  <si>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</si>
  <si>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</si>
  <si>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</si>
  <si>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</si>
  <si>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</si>
  <si>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</si>
  <si>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</si>
  <si>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</si>
  <si>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</si>
  <si>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</si>
  <si>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</si>
  <si>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</si>
  <si>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</si>
  <si>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</si>
  <si>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</si>
  <si>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</si>
  <si>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</si>
  <si>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</si>
  <si>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</si>
  <si>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</si>
  <si>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</si>
  <si>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</si>
  <si>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</si>
  <si>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</si>
  <si>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</si>
  <si>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</si>
  <si>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</si>
  <si>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</si>
  <si>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</si>
  <si>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</si>
  <si>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</si>
  <si>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</si>
  <si>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</si>
  <si>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</si>
  <si>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</si>
  <si>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</si>
  <si>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</si>
  <si>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</si>
  <si>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</si>
  <si>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</si>
  <si>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</si>
  <si>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</si>
  <si>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</si>
  <si>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</si>
  <si>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</si>
  <si>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</si>
  <si>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</si>
  <si>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</si>
  <si>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</si>
  <si>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</si>
  <si>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</si>
  <si>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</si>
  <si>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</si>
  <si>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</si>
  <si>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</si>
  <si>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</si>
  <si>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</si>
  <si>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</si>
  <si>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</si>
  <si>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</si>
  <si>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</si>
  <si>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</si>
  <si>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</si>
  <si>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</si>
  <si>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</si>
  <si>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</si>
  <si>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</si>
  <si>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</si>
  <si>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</si>
  <si>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</si>
  <si>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</si>
  <si>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</si>
  <si>
    <t>s</t>
  </si>
  <si>
    <t>esc 1</t>
  </si>
  <si>
    <t>esc 3</t>
  </si>
  <si>
    <t>esc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</si>
</sst>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39"/>
  <sheetViews>
    <sheetView tabSelected="1"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A17" sqref="A17"/>
    </sheetView>
  </sheetViews>
  <sheetFormatPr defaultColWidth="9.140625" defaultRowHeight="15" x14ac:dyDescent="0.25"/>
  <cols>
    <col min="1" max="1" width="15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>s</v>
      </c>
      <c r="B14" s="23" t="s">
        <v>96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tr">
        <f t="shared" si="0"/>
        <v>esc 1</v>
      </c>
      <c r="B17" s="23" t="s">
        <v>97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tr">
        <f xml:space="preserve"> TEXT(B18,"mmm yyy ")</f>
        <v>esc 2</v>
      </c>
      <c r="B18" s="23" t="s">
        <v>99</v>
      </c>
      <c r="C18" s="17">
        <v>2.766</v>
      </c>
      <c r="D18" s="12">
        <v>11396.180876002849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v>4.6798522727272723E-2</v>
      </c>
      <c r="AO18" s="13">
        <v>4.8503068181818189E-2</v>
      </c>
      <c r="AP18" s="13">
        <v>4.9866704545454547E-2</v>
      </c>
      <c r="AQ18" s="13">
        <v>5.0662159090909084E-2</v>
      </c>
      <c r="AR18" s="13">
        <v>5.0292840909090912E-2</v>
      </c>
      <c r="AS18" s="13">
        <v>4.9525795454545454E-2</v>
      </c>
      <c r="AT18" s="13">
        <v>5.1158191909090898E-2</v>
      </c>
      <c r="AU18" s="13">
        <v>5.2790588363636343E-2</v>
      </c>
      <c r="AV18" s="13">
        <v>5.4422984818181787E-2</v>
      </c>
      <c r="AW18" s="13">
        <v>5.6055381272727231E-2</v>
      </c>
      <c r="AX18" s="13">
        <v>5.7687777727272675E-2</v>
      </c>
      <c r="AY18" s="13">
        <v>5.9320174181818119E-2</v>
      </c>
      <c r="AZ18" s="13">
        <v>6.0952570636363564E-2</v>
      </c>
      <c r="BA18" s="13">
        <v>6.2584967090909008E-2</v>
      </c>
      <c r="BB18" s="13">
        <v>6.632884220909091E-2</v>
      </c>
      <c r="BC18" s="13">
        <v>8.0560250000000222E-2</v>
      </c>
      <c r="BE18" s="13">
        <v>3.5099417225198182E-3</v>
      </c>
      <c r="BF18" s="13">
        <v>4.109941722519818E-3</v>
      </c>
      <c r="BG18" s="13">
        <v>4.7099417225198179E-3</v>
      </c>
      <c r="BH18" s="13">
        <v>5.7099417225198179E-3</v>
      </c>
      <c r="BI18" s="13">
        <v>7.9599417225198182E-3</v>
      </c>
      <c r="BJ18" s="13">
        <v>1.3709941722519816E-2</v>
      </c>
      <c r="BK18" s="13">
        <v>2.7006511393455224E-2</v>
      </c>
      <c r="BL18" s="13">
        <v>2.7394073106238093E-2</v>
      </c>
      <c r="BM18" s="13">
        <v>2.8990225202874642E-2</v>
      </c>
      <c r="BN18" s="13">
        <v>3.0766024461696073E-2</v>
      </c>
      <c r="BO18" s="13">
        <v>3.1753921214640934E-2</v>
      </c>
      <c r="BP18" s="13">
        <v>3.5000171588619011E-2</v>
      </c>
      <c r="BQ18" s="13">
        <v>3.7961058903555056E-2</v>
      </c>
      <c r="BR18" s="13">
        <v>4.0618600926801474E-2</v>
      </c>
      <c r="BS18" s="13">
        <v>4.6115361683157642E-2</v>
      </c>
      <c r="BT18" s="13">
        <v>5.495438224778737E-2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tr">
        <f t="shared" si="0"/>
        <v>esc 3</v>
      </c>
      <c r="B19" s="23" t="s">
        <v>98</v>
      </c>
      <c r="C19" s="17">
        <v>2.766</v>
      </c>
      <c r="D19" s="12">
        <v>11396.180876002849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4.6798522727272723E-2</v>
      </c>
      <c r="AO19" s="13">
        <v>4.8503068181818189E-2</v>
      </c>
      <c r="AP19" s="13">
        <v>4.9866704545454547E-2</v>
      </c>
      <c r="AQ19" s="13">
        <v>5.0662159090909084E-2</v>
      </c>
      <c r="AR19" s="13">
        <v>5.0292840909090912E-2</v>
      </c>
      <c r="AS19" s="13">
        <v>4.9525795454545454E-2</v>
      </c>
      <c r="AT19" s="13">
        <v>5.1158191909090898E-2</v>
      </c>
      <c r="AU19" s="13">
        <v>5.2790588363636343E-2</v>
      </c>
      <c r="AV19" s="13">
        <v>5.4422984818181787E-2</v>
      </c>
      <c r="AW19" s="13">
        <v>5.6055381272727231E-2</v>
      </c>
      <c r="AX19" s="13">
        <v>5.7687777727272675E-2</v>
      </c>
      <c r="AY19" s="13">
        <v>5.9320174181818119E-2</v>
      </c>
      <c r="AZ19" s="13">
        <v>6.0952570636363564E-2</v>
      </c>
      <c r="BA19" s="13">
        <v>6.2584967090909008E-2</v>
      </c>
      <c r="BB19" s="13">
        <v>6.632884220909091E-2</v>
      </c>
      <c r="BC19" s="13">
        <v>8.0560250000000222E-2</v>
      </c>
      <c r="BE19" s="13">
        <v>3.5099417225198182E-3</v>
      </c>
      <c r="BF19" s="13">
        <v>4.109941722519818E-3</v>
      </c>
      <c r="BG19" s="13">
        <v>4.7099417225198179E-3</v>
      </c>
      <c r="BH19" s="13">
        <v>5.7099417225198179E-3</v>
      </c>
      <c r="BI19" s="13">
        <v>7.9599417225198182E-3</v>
      </c>
      <c r="BJ19" s="13">
        <v>1.3709941722519816E-2</v>
      </c>
      <c r="BK19" s="13">
        <v>2.7006511393455224E-2</v>
      </c>
      <c r="BL19" s="13">
        <v>2.7394073106238093E-2</v>
      </c>
      <c r="BM19" s="13">
        <v>2.8990225202874642E-2</v>
      </c>
      <c r="BN19" s="13">
        <v>3.0766024461696073E-2</v>
      </c>
      <c r="BO19" s="13">
        <v>3.1753921214640934E-2</v>
      </c>
      <c r="BP19" s="13">
        <v>3.5000171588619011E-2</v>
      </c>
      <c r="BQ19" s="13">
        <v>3.7961058903555056E-2</v>
      </c>
      <c r="BR19" s="13">
        <v>4.0618600926801474E-2</v>
      </c>
      <c r="BS19" s="13">
        <v>4.6115361683157642E-2</v>
      </c>
      <c r="BT19" s="13">
        <v>5.495438224778737E-2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tr">
        <f t="shared" si="0"/>
        <v xml:space="preserve">Sep 2014 </v>
      </c>
      <c r="B20" s="2">
        <v>41912</v>
      </c>
      <c r="C20" s="17">
        <v>2.766</v>
      </c>
      <c r="D20" s="12">
        <v>11396.180876002849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3">
        <v>4.6798522727272723E-2</v>
      </c>
      <c r="AO20" s="13">
        <v>4.8503068181818189E-2</v>
      </c>
      <c r="AP20" s="13">
        <v>4.9866704545454547E-2</v>
      </c>
      <c r="AQ20" s="13">
        <v>5.0662159090909084E-2</v>
      </c>
      <c r="AR20" s="13">
        <v>5.0292840909090912E-2</v>
      </c>
      <c r="AS20" s="13">
        <v>4.9525795454545454E-2</v>
      </c>
      <c r="AT20" s="13">
        <v>5.1158191909090898E-2</v>
      </c>
      <c r="AU20" s="13">
        <v>5.2790588363636343E-2</v>
      </c>
      <c r="AV20" s="13">
        <v>5.4422984818181787E-2</v>
      </c>
      <c r="AW20" s="13">
        <v>5.6055381272727231E-2</v>
      </c>
      <c r="AX20" s="13">
        <v>5.7687777727272675E-2</v>
      </c>
      <c r="AY20" s="13">
        <v>5.9320174181818119E-2</v>
      </c>
      <c r="AZ20" s="13">
        <v>6.0952570636363564E-2</v>
      </c>
      <c r="BA20" s="13">
        <v>6.2584967090909008E-2</v>
      </c>
      <c r="BB20" s="13">
        <v>6.632884220909091E-2</v>
      </c>
      <c r="BC20" s="13">
        <v>8.0560250000000222E-2</v>
      </c>
      <c r="BD20" s="2"/>
      <c r="BE20" s="13">
        <v>3.5099417225198182E-3</v>
      </c>
      <c r="BF20" s="13">
        <v>4.109941722519818E-3</v>
      </c>
      <c r="BG20" s="13">
        <v>4.7099417225198179E-3</v>
      </c>
      <c r="BH20" s="13">
        <v>5.7099417225198179E-3</v>
      </c>
      <c r="BI20" s="13">
        <v>7.9599417225198182E-3</v>
      </c>
      <c r="BJ20" s="13">
        <v>1.3709941722519816E-2</v>
      </c>
      <c r="BK20" s="13">
        <v>2.7006511393455224E-2</v>
      </c>
      <c r="BL20" s="13">
        <v>2.7394073106238093E-2</v>
      </c>
      <c r="BM20" s="13">
        <v>2.8990225202874642E-2</v>
      </c>
      <c r="BN20" s="13">
        <v>3.0766024461696073E-2</v>
      </c>
      <c r="BO20" s="13">
        <v>3.1753921214640934E-2</v>
      </c>
      <c r="BP20" s="13">
        <v>3.5000171588619011E-2</v>
      </c>
      <c r="BQ20" s="13">
        <v>3.7961058903555056E-2</v>
      </c>
      <c r="BR20" s="13">
        <v>4.0618600926801474E-2</v>
      </c>
      <c r="BS20" s="13">
        <v>4.6115361683157642E-2</v>
      </c>
      <c r="BT20" s="13">
        <v>5.495438224778737E-2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tr">
        <f t="shared" si="0"/>
        <v xml:space="preserve">Dec 2014 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tr">
        <f t="shared" si="0"/>
        <v xml:space="preserve">Mar 2015 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tr">
        <f t="shared" si="0"/>
        <v xml:space="preserve">Jun 2015 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tr">
        <f t="shared" si="0"/>
        <v xml:space="preserve">Sep 2015 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tr">
        <f t="shared" si="0"/>
        <v xml:space="preserve">Dec 2015 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tr">
        <f t="shared" si="0"/>
        <v xml:space="preserve">Mar 2016 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tr">
        <f t="shared" si="0"/>
        <v xml:space="preserve">Jun 2016 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tr">
        <f t="shared" si="0"/>
        <v xml:space="preserve">Sep 2016 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tr">
        <f t="shared" si="0"/>
        <v xml:space="preserve">Dec 2016 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tr">
        <f t="shared" si="0"/>
        <v xml:space="preserve">Mar 2017 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tr">
        <f t="shared" si="0"/>
        <v xml:space="preserve">Jun 2017 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tr">
        <f t="shared" si="0"/>
        <v xml:space="preserve">Sep 2017 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tr">
        <f t="shared" si="0"/>
        <v xml:space="preserve">Dec 2017 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E34" s="11"/>
      <c r="EO34" s="21"/>
    </row>
    <row r="35" spans="1:174" x14ac:dyDescent="0.25">
      <c r="E35" s="11"/>
    </row>
    <row r="36" spans="1:174" x14ac:dyDescent="0.25">
      <c r="E36" s="11"/>
      <c r="BV36" s="10">
        <v>7025.8458862569123</v>
      </c>
      <c r="BW36" s="10">
        <v>2253.4713064495591</v>
      </c>
      <c r="BX36" s="10">
        <v>1653.5332517258521</v>
      </c>
      <c r="BY36" s="10">
        <v>4278.4518497827939</v>
      </c>
      <c r="BZ36" s="10">
        <v>6564.3088713331235</v>
      </c>
      <c r="CA36" s="10">
        <v>8504.0938009505589</v>
      </c>
      <c r="CB36" s="10">
        <v>5250.5038527308343</v>
      </c>
      <c r="CC36" s="10">
        <v>3472.2685811846536</v>
      </c>
      <c r="CD36" s="10">
        <v>1678.4217386812859</v>
      </c>
      <c r="CE36" s="10">
        <v>1190.7690669416966</v>
      </c>
      <c r="CF36" s="10">
        <v>3255.0340459816243</v>
      </c>
      <c r="CG36" s="10">
        <v>787.73320178892959</v>
      </c>
      <c r="CH36" s="10">
        <v>656.04159027822459</v>
      </c>
      <c r="CI36" s="10">
        <v>891.55209817647062</v>
      </c>
      <c r="CJ36" s="10">
        <v>2624.7424747357272</v>
      </c>
      <c r="CK36" s="10">
        <v>409.89347877366453</v>
      </c>
      <c r="CM36" s="10">
        <v>11838.499046802568</v>
      </c>
      <c r="CN36" s="10">
        <v>2028.8993884527947</v>
      </c>
      <c r="CO36" s="10">
        <v>1063.0150300947953</v>
      </c>
      <c r="CP36" s="10">
        <v>2833.0644345851651</v>
      </c>
      <c r="CQ36" s="10">
        <v>2366.0016121212107</v>
      </c>
      <c r="CR36" s="10">
        <v>3340.535501101358</v>
      </c>
      <c r="CS36" s="10">
        <v>2755.8553290723848</v>
      </c>
      <c r="CT36" s="10">
        <v>4280.8305387877172</v>
      </c>
      <c r="CU36" s="10">
        <v>1918.1993041112844</v>
      </c>
      <c r="CV36" s="10">
        <v>83.871631142209296</v>
      </c>
      <c r="CW36" s="10">
        <v>489.44543369673886</v>
      </c>
      <c r="CX36" s="10">
        <v>205.15826074257214</v>
      </c>
      <c r="CY36" s="10">
        <v>438.72701074257208</v>
      </c>
      <c r="CZ36" s="10">
        <v>3647.4997963150563</v>
      </c>
      <c r="DA36" s="10">
        <v>1502.8123297054285</v>
      </c>
      <c r="DB36" s="10">
        <v>6.2773030551996253E-5</v>
      </c>
    </row>
    <row r="37" spans="1:174" x14ac:dyDescent="0.25">
      <c r="E37" s="11"/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0</v>
      </c>
      <c r="CI37" s="18">
        <v>0</v>
      </c>
      <c r="CJ37" s="18">
        <v>0</v>
      </c>
      <c r="CK37" s="18">
        <v>0</v>
      </c>
      <c r="CM37" s="18">
        <v>0</v>
      </c>
      <c r="CN37" s="18">
        <v>0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</row>
    <row r="38" spans="1:174" x14ac:dyDescent="0.25">
      <c r="E38" s="11"/>
    </row>
    <row r="39" spans="1:174" x14ac:dyDescent="0.25">
      <c r="E39" s="11"/>
    </row>
  </sheetData>
  <conditionalFormatting sqref="EL10:FA33">
    <cfRule type="cellIs" dxfId="1" priority="2" operator="notEqual">
      <formula>TRUE</formula>
    </cfRule>
  </conditionalFormatting>
  <conditionalFormatting sqref="FC10:FR33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2016-06-06T21:54:16Z</dcterms:modified>
</cp:coreProperties>
</file>