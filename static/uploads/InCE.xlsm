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neDrive\cloud_projects\cir_economic_capital\"/>
    </mc:Choice>
  </mc:AlternateContent>
  <bookViews>
    <workbookView xWindow="-4170" yWindow="195" windowWidth="20730" windowHeight="10170" tabRatio="467" activeTab="1"/>
  </bookViews>
  <sheets>
    <sheet name="Parametros" sheetId="2" r:id="rId1"/>
    <sheet name="Datos" sheetId="1" r:id="rId2"/>
    <sheet name="ME" sheetId="7" r:id="rId3"/>
    <sheet name="MN" sheetId="8" r:id="rId4"/>
    <sheet name="Hoja1" sheetId="9" r:id="rId5"/>
    <sheet name="SOB" sheetId="11" r:id="rId6"/>
  </sheets>
  <functionGroups builtInGroupCount="18"/>
  <definedNames>
    <definedName name="buckets_label">Datos!$F$4:$U$4</definedName>
    <definedName name="buckets_num">Datos!$F$6:$U$6</definedName>
    <definedName name="gap_me">Datos!$W$18:$AL$28</definedName>
    <definedName name="gap_mn">Datos!$F$18:$U$28</definedName>
    <definedName name="pe">Datos!$D$18:$D$28</definedName>
    <definedName name="scen">Datos!$A$18:$A$28</definedName>
    <definedName name="tc">Datos!$C$18:$C$28</definedName>
    <definedName name="tt_me">Datos!$BE$18:$BT$28</definedName>
    <definedName name="tt_mn">Datos!$AN$18:$BC$28</definedName>
  </definedNames>
  <calcPr calcId="162913"/>
</workbook>
</file>

<file path=xl/calcChain.xml><?xml version="1.0" encoding="utf-8"?>
<calcChain xmlns="http://schemas.openxmlformats.org/spreadsheetml/2006/main">
  <c r="AN18" i="1" l="1"/>
  <c r="A18" i="1" l="1"/>
  <c r="A33" i="1" l="1"/>
  <c r="A32" i="1"/>
  <c r="A31" i="1"/>
  <c r="A30" i="1"/>
  <c r="A29" i="1"/>
  <c r="A28" i="1"/>
  <c r="A27" i="1"/>
  <c r="A26" i="1"/>
  <c r="A25" i="1"/>
  <c r="A24" i="1"/>
  <c r="A23" i="1"/>
  <c r="A22" i="1"/>
  <c r="A21" i="1"/>
  <c r="A20" i="1" l="1"/>
  <c r="A19" i="1"/>
  <c r="A17" i="1"/>
  <c r="A16" i="1"/>
  <c r="A15" i="1"/>
  <c r="A14" i="1"/>
  <c r="JB33" i="8" l="1"/>
  <c r="JA33" i="8"/>
  <c r="IZ33" i="8"/>
  <c r="IY33" i="8"/>
  <c r="IX33" i="8"/>
  <c r="IW33" i="8"/>
  <c r="IV33" i="8"/>
  <c r="IU33" i="8"/>
  <c r="IT33" i="8"/>
  <c r="IS33" i="8"/>
  <c r="IR33" i="8"/>
  <c r="IQ33" i="8"/>
  <c r="IP33" i="8"/>
  <c r="IO33" i="8"/>
  <c r="IN33" i="8"/>
  <c r="IM33" i="8"/>
  <c r="JB32" i="8"/>
  <c r="JA32" i="8"/>
  <c r="IZ32" i="8"/>
  <c r="IY32" i="8"/>
  <c r="IX32" i="8"/>
  <c r="IW32" i="8"/>
  <c r="IV32" i="8"/>
  <c r="IU32" i="8"/>
  <c r="IT32" i="8"/>
  <c r="IS32" i="8"/>
  <c r="IR32" i="8"/>
  <c r="IQ32" i="8"/>
  <c r="IP32" i="8"/>
  <c r="IO32" i="8"/>
  <c r="IN32" i="8"/>
  <c r="IM32" i="8"/>
  <c r="JB31" i="8"/>
  <c r="JA31" i="8"/>
  <c r="IZ31" i="8"/>
  <c r="IY31" i="8"/>
  <c r="IX31" i="8"/>
  <c r="IW31" i="8"/>
  <c r="IV31" i="8"/>
  <c r="IU31" i="8"/>
  <c r="IT31" i="8"/>
  <c r="IS31" i="8"/>
  <c r="IR31" i="8"/>
  <c r="IQ31" i="8"/>
  <c r="IP31" i="8"/>
  <c r="IO31" i="8"/>
  <c r="IN31" i="8"/>
  <c r="IM31" i="8"/>
  <c r="JB30" i="8"/>
  <c r="JA30" i="8"/>
  <c r="IZ30" i="8"/>
  <c r="IY30" i="8"/>
  <c r="IX30" i="8"/>
  <c r="IW30" i="8"/>
  <c r="IV30" i="8"/>
  <c r="IU30" i="8"/>
  <c r="IT30" i="8"/>
  <c r="IS30" i="8"/>
  <c r="IR30" i="8"/>
  <c r="IQ30" i="8"/>
  <c r="IP30" i="8"/>
  <c r="IO30" i="8"/>
  <c r="IN30" i="8"/>
  <c r="IM30" i="8"/>
  <c r="JB29" i="8"/>
  <c r="JA29" i="8"/>
  <c r="IZ29" i="8"/>
  <c r="IY29" i="8"/>
  <c r="IX29" i="8"/>
  <c r="IW29" i="8"/>
  <c r="IV29" i="8"/>
  <c r="IU29" i="8"/>
  <c r="IT29" i="8"/>
  <c r="IS29" i="8"/>
  <c r="IR29" i="8"/>
  <c r="IQ29" i="8"/>
  <c r="IP29" i="8"/>
  <c r="IO29" i="8"/>
  <c r="IN29" i="8"/>
  <c r="IM29" i="8"/>
  <c r="JB28" i="8"/>
  <c r="JA28" i="8"/>
  <c r="IZ28" i="8"/>
  <c r="IY28" i="8"/>
  <c r="IX28" i="8"/>
  <c r="IW28" i="8"/>
  <c r="IV28" i="8"/>
  <c r="IU28" i="8"/>
  <c r="IT28" i="8"/>
  <c r="IS28" i="8"/>
  <c r="IR28" i="8"/>
  <c r="IQ28" i="8"/>
  <c r="IP28" i="8"/>
  <c r="IO28" i="8"/>
  <c r="IN28" i="8"/>
  <c r="IM28" i="8"/>
  <c r="JB27" i="8"/>
  <c r="JA27" i="8"/>
  <c r="IZ27" i="8"/>
  <c r="IY27" i="8"/>
  <c r="IX27" i="8"/>
  <c r="IW27" i="8"/>
  <c r="IV27" i="8"/>
  <c r="IU27" i="8"/>
  <c r="IT27" i="8"/>
  <c r="IS27" i="8"/>
  <c r="IR27" i="8"/>
  <c r="IQ27" i="8"/>
  <c r="IP27" i="8"/>
  <c r="IO27" i="8"/>
  <c r="IN27" i="8"/>
  <c r="IM27" i="8"/>
  <c r="JB26" i="8"/>
  <c r="JA26" i="8"/>
  <c r="IZ26" i="8"/>
  <c r="IY26" i="8"/>
  <c r="IX26" i="8"/>
  <c r="IW26" i="8"/>
  <c r="IV26" i="8"/>
  <c r="IU26" i="8"/>
  <c r="IT26" i="8"/>
  <c r="IS26" i="8"/>
  <c r="IR26" i="8"/>
  <c r="IQ26" i="8"/>
  <c r="IP26" i="8"/>
  <c r="IO26" i="8"/>
  <c r="IN26" i="8"/>
  <c r="IM26" i="8"/>
  <c r="JB25" i="8"/>
  <c r="JA25" i="8"/>
  <c r="IZ25" i="8"/>
  <c r="IY25" i="8"/>
  <c r="IX25" i="8"/>
  <c r="IW25" i="8"/>
  <c r="IV25" i="8"/>
  <c r="IU25" i="8"/>
  <c r="IT25" i="8"/>
  <c r="IS25" i="8"/>
  <c r="IR25" i="8"/>
  <c r="IQ25" i="8"/>
  <c r="IP25" i="8"/>
  <c r="IO25" i="8"/>
  <c r="IN25" i="8"/>
  <c r="IM25" i="8"/>
  <c r="JB24" i="8"/>
  <c r="JA24" i="8"/>
  <c r="IZ24" i="8"/>
  <c r="IY24" i="8"/>
  <c r="IX24" i="8"/>
  <c r="IW24" i="8"/>
  <c r="IV24" i="8"/>
  <c r="IU24" i="8"/>
  <c r="IT24" i="8"/>
  <c r="IS24" i="8"/>
  <c r="IR24" i="8"/>
  <c r="IQ24" i="8"/>
  <c r="IP24" i="8"/>
  <c r="IO24" i="8"/>
  <c r="IN24" i="8"/>
  <c r="IM24" i="8"/>
  <c r="JB23" i="8"/>
  <c r="JA23" i="8"/>
  <c r="IZ23" i="8"/>
  <c r="IY23" i="8"/>
  <c r="IX23" i="8"/>
  <c r="IW23" i="8"/>
  <c r="IV23" i="8"/>
  <c r="IU23" i="8"/>
  <c r="IT23" i="8"/>
  <c r="IS23" i="8"/>
  <c r="IR23" i="8"/>
  <c r="IQ23" i="8"/>
  <c r="IP23" i="8"/>
  <c r="IO23" i="8"/>
  <c r="IN23" i="8"/>
  <c r="IM23" i="8"/>
  <c r="JB22" i="8"/>
  <c r="JA22" i="8"/>
  <c r="IZ22" i="8"/>
  <c r="IY22" i="8"/>
  <c r="IX22" i="8"/>
  <c r="IW22" i="8"/>
  <c r="IV22" i="8"/>
  <c r="IU22" i="8"/>
  <c r="IT22" i="8"/>
  <c r="IS22" i="8"/>
  <c r="IR22" i="8"/>
  <c r="IQ22" i="8"/>
  <c r="IP22" i="8"/>
  <c r="IO22" i="8"/>
  <c r="IN22" i="8"/>
  <c r="IM22" i="8"/>
  <c r="JB21" i="8"/>
  <c r="JA21" i="8"/>
  <c r="IZ21" i="8"/>
  <c r="IY21" i="8"/>
  <c r="IX21" i="8"/>
  <c r="IW21" i="8"/>
  <c r="IV21" i="8"/>
  <c r="IU21" i="8"/>
  <c r="IT21" i="8"/>
  <c r="IS21" i="8"/>
  <c r="IR21" i="8"/>
  <c r="IQ21" i="8"/>
  <c r="IP21" i="8"/>
  <c r="IO21" i="8"/>
  <c r="IN21" i="8"/>
  <c r="IM21" i="8"/>
  <c r="JB20" i="8"/>
  <c r="JA20" i="8"/>
  <c r="IZ20" i="8"/>
  <c r="IY20" i="8"/>
  <c r="IX20" i="8"/>
  <c r="IW20" i="8"/>
  <c r="IV20" i="8"/>
  <c r="IU20" i="8"/>
  <c r="IT20" i="8"/>
  <c r="IS20" i="8"/>
  <c r="IR20" i="8"/>
  <c r="IQ20" i="8"/>
  <c r="IP20" i="8"/>
  <c r="IO20" i="8"/>
  <c r="IN20" i="8"/>
  <c r="IM20" i="8"/>
  <c r="HD1" i="7" l="1"/>
  <c r="HE1" i="7" s="1"/>
  <c r="HF1" i="7" s="1"/>
  <c r="HG1" i="7" s="1"/>
  <c r="HH1" i="7" s="1"/>
  <c r="HI1" i="7" s="1"/>
  <c r="HJ1" i="7" s="1"/>
  <c r="HK1" i="7" s="1"/>
  <c r="HL1" i="7" s="1"/>
  <c r="HM1" i="7" s="1"/>
  <c r="HN1" i="7" s="1"/>
  <c r="HO1" i="7" s="1"/>
  <c r="HP1" i="7" s="1"/>
  <c r="HQ1" i="7" s="1"/>
  <c r="HC1" i="7"/>
  <c r="GL1" i="7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FU1" i="7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FD1" i="7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EN1" i="7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EM1" i="7"/>
  <c r="DV1" i="7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DE1" i="7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CO1" i="7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CN1" i="7"/>
  <c r="BW1" i="7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BF1" i="7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AO1" i="7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Y1" i="7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X1" i="7"/>
  <c r="G1" i="7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HC1" i="8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GL1" i="8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FU1" i="8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FD1" i="8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EM1" i="8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DV1" i="8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DE1" i="8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3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D15" i="9" s="1"/>
  <c r="A4" i="9"/>
  <c r="D4" i="9" s="1"/>
  <c r="CN1" i="8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BZ1" i="8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BW1" i="8"/>
  <c r="BX1" i="8" s="1"/>
  <c r="BY1" i="8" s="1"/>
  <c r="BF1" i="8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AO1" i="8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X1" i="8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G1" i="8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D12" i="9" l="1"/>
  <c r="D8" i="9"/>
  <c r="D11" i="9"/>
  <c r="D7" i="9"/>
  <c r="D14" i="9"/>
  <c r="D10" i="9"/>
  <c r="D6" i="9"/>
  <c r="D13" i="9"/>
  <c r="D9" i="9"/>
  <c r="D5" i="9"/>
  <c r="IK20" i="7"/>
  <c r="IO20" i="7"/>
  <c r="IS20" i="7"/>
  <c r="IW20" i="7"/>
  <c r="IK21" i="7"/>
  <c r="IO21" i="7"/>
  <c r="IS21" i="7"/>
  <c r="IW21" i="7"/>
  <c r="IK22" i="7"/>
  <c r="IO22" i="7"/>
  <c r="IS22" i="7"/>
  <c r="IW22" i="7"/>
  <c r="IL23" i="7"/>
  <c r="IQ23" i="7"/>
  <c r="IW23" i="7"/>
  <c r="IL20" i="7"/>
  <c r="IP20" i="7"/>
  <c r="IT20" i="7"/>
  <c r="IX20" i="7"/>
  <c r="IL21" i="7"/>
  <c r="IP21" i="7"/>
  <c r="IT21" i="7"/>
  <c r="IX21" i="7"/>
  <c r="IL22" i="7"/>
  <c r="IP22" i="7"/>
  <c r="IT22" i="7"/>
  <c r="IX22" i="7"/>
  <c r="IM23" i="7"/>
  <c r="IS23" i="7"/>
  <c r="IX23" i="7"/>
  <c r="IM20" i="7"/>
  <c r="IQ20" i="7"/>
  <c r="IU20" i="7"/>
  <c r="IY20" i="7"/>
  <c r="IM21" i="7"/>
  <c r="IQ21" i="7"/>
  <c r="IU21" i="7"/>
  <c r="IY21" i="7"/>
  <c r="IM22" i="7"/>
  <c r="IQ22" i="7"/>
  <c r="IU22" i="7"/>
  <c r="IY22" i="7"/>
  <c r="IO23" i="7"/>
  <c r="IT23" i="7"/>
  <c r="IY23" i="7"/>
  <c r="IN20" i="7"/>
  <c r="IR20" i="7"/>
  <c r="IV20" i="7"/>
  <c r="IZ20" i="7"/>
  <c r="IN21" i="7"/>
  <c r="IR21" i="7"/>
  <c r="IV21" i="7"/>
  <c r="IZ21" i="7"/>
  <c r="IN22" i="7"/>
  <c r="IR22" i="7"/>
  <c r="IV22" i="7"/>
  <c r="IZ22" i="7"/>
  <c r="IK23" i="7"/>
  <c r="IP23" i="7"/>
  <c r="IU23" i="7"/>
  <c r="IN23" i="7"/>
  <c r="IR23" i="7"/>
  <c r="IV23" i="7"/>
  <c r="IZ23" i="7"/>
  <c r="IN24" i="7"/>
  <c r="IR24" i="7"/>
  <c r="IV24" i="7"/>
  <c r="IZ24" i="7"/>
  <c r="IN25" i="7"/>
  <c r="IR25" i="7"/>
  <c r="IV25" i="7"/>
  <c r="IZ25" i="7"/>
  <c r="IL26" i="7"/>
  <c r="IT26" i="7"/>
  <c r="IK24" i="7"/>
  <c r="IO24" i="7"/>
  <c r="IS24" i="7"/>
  <c r="IW24" i="7"/>
  <c r="IK25" i="7"/>
  <c r="IO25" i="7"/>
  <c r="IS25" i="7"/>
  <c r="IW25" i="7"/>
  <c r="IO26" i="7"/>
  <c r="IW26" i="7"/>
  <c r="IL24" i="7"/>
  <c r="IP24" i="7"/>
  <c r="IT24" i="7"/>
  <c r="IX24" i="7"/>
  <c r="IL25" i="7"/>
  <c r="IP25" i="7"/>
  <c r="IT25" i="7"/>
  <c r="IX25" i="7"/>
  <c r="IP26" i="7"/>
  <c r="IX26" i="7"/>
  <c r="IM24" i="7"/>
  <c r="IQ24" i="7"/>
  <c r="IU24" i="7"/>
  <c r="IY24" i="7"/>
  <c r="IM25" i="7"/>
  <c r="IQ25" i="7"/>
  <c r="IU25" i="7"/>
  <c r="IY25" i="7"/>
  <c r="IK26" i="7"/>
  <c r="IS26" i="7"/>
  <c r="IN26" i="7"/>
  <c r="IR26" i="7"/>
  <c r="IV26" i="7"/>
  <c r="IZ26" i="7"/>
  <c r="IN27" i="7"/>
  <c r="IR27" i="7"/>
  <c r="IV27" i="7"/>
  <c r="IZ27" i="7"/>
  <c r="IN28" i="7"/>
  <c r="IR28" i="7"/>
  <c r="IV28" i="7"/>
  <c r="IZ28" i="7"/>
  <c r="IK27" i="7"/>
  <c r="IO27" i="7"/>
  <c r="IS27" i="7"/>
  <c r="IW27" i="7"/>
  <c r="IK28" i="7"/>
  <c r="IO28" i="7"/>
  <c r="IS28" i="7"/>
  <c r="IW28" i="7"/>
  <c r="IL27" i="7"/>
  <c r="IP27" i="7"/>
  <c r="IT27" i="7"/>
  <c r="IX27" i="7"/>
  <c r="IL28" i="7"/>
  <c r="IP28" i="7"/>
  <c r="IT28" i="7"/>
  <c r="IX28" i="7"/>
  <c r="IM26" i="7"/>
  <c r="IQ26" i="7"/>
  <c r="IU26" i="7"/>
  <c r="IY26" i="7"/>
  <c r="IM27" i="7"/>
  <c r="IQ27" i="7"/>
  <c r="IU27" i="7"/>
  <c r="IY27" i="7"/>
  <c r="IM28" i="7"/>
  <c r="IQ28" i="7"/>
  <c r="IU28" i="7"/>
  <c r="IY28" i="7"/>
  <c r="IL29" i="7"/>
  <c r="IP29" i="7"/>
  <c r="IT29" i="7"/>
  <c r="IX29" i="7"/>
  <c r="IL30" i="7"/>
  <c r="IP30" i="7"/>
  <c r="IT30" i="7"/>
  <c r="IX30" i="7"/>
  <c r="IM29" i="7"/>
  <c r="IQ29" i="7"/>
  <c r="IU29" i="7"/>
  <c r="IY29" i="7"/>
  <c r="IM30" i="7"/>
  <c r="IQ30" i="7"/>
  <c r="IU30" i="7"/>
  <c r="IY30" i="7"/>
  <c r="IN29" i="7"/>
  <c r="IR29" i="7"/>
  <c r="IV29" i="7"/>
  <c r="IZ29" i="7"/>
  <c r="IN30" i="7"/>
  <c r="IR30" i="7"/>
  <c r="IV30" i="7"/>
  <c r="IZ30" i="7"/>
  <c r="IK29" i="7"/>
  <c r="IO29" i="7"/>
  <c r="IS29" i="7"/>
  <c r="IW29" i="7"/>
  <c r="IK30" i="7"/>
  <c r="IO30" i="7"/>
  <c r="IS30" i="7"/>
  <c r="IW30" i="7"/>
  <c r="IK31" i="7"/>
  <c r="IO31" i="7"/>
  <c r="IS31" i="7"/>
  <c r="IW31" i="7"/>
  <c r="IK32" i="7"/>
  <c r="IO32" i="7"/>
  <c r="IS32" i="7"/>
  <c r="IW32" i="7"/>
  <c r="IK33" i="7"/>
  <c r="IO33" i="7"/>
  <c r="IS33" i="7"/>
  <c r="IW33" i="7"/>
  <c r="IL31" i="7"/>
  <c r="IP31" i="7"/>
  <c r="IT31" i="7"/>
  <c r="IX31" i="7"/>
  <c r="IL32" i="7"/>
  <c r="IP32" i="7"/>
  <c r="IT32" i="7"/>
  <c r="IX32" i="7"/>
  <c r="IL33" i="7"/>
  <c r="IP33" i="7"/>
  <c r="IT33" i="7"/>
  <c r="IX33" i="7"/>
  <c r="IM31" i="7"/>
  <c r="IQ31" i="7"/>
  <c r="IU31" i="7"/>
  <c r="IY31" i="7"/>
  <c r="IM32" i="7"/>
  <c r="IQ32" i="7"/>
  <c r="IU32" i="7"/>
  <c r="IY32" i="7"/>
  <c r="IM33" i="7"/>
  <c r="IQ33" i="7"/>
  <c r="IU33" i="7"/>
  <c r="IY33" i="7"/>
  <c r="IN31" i="7"/>
  <c r="IR31" i="7"/>
  <c r="IV31" i="7"/>
  <c r="IZ31" i="7"/>
  <c r="IN32" i="7"/>
  <c r="IR32" i="7"/>
  <c r="IV32" i="7"/>
  <c r="IZ32" i="7"/>
  <c r="IN33" i="7"/>
  <c r="IR33" i="7"/>
  <c r="IV33" i="7"/>
  <c r="IZ33" i="7"/>
  <c r="HT20" i="7"/>
  <c r="HX20" i="7"/>
  <c r="IB20" i="7"/>
  <c r="IF20" i="7"/>
  <c r="HT21" i="7"/>
  <c r="HX21" i="7"/>
  <c r="IB21" i="7"/>
  <c r="IF21" i="7"/>
  <c r="HT22" i="7"/>
  <c r="HX22" i="7"/>
  <c r="IB22" i="7"/>
  <c r="IF22" i="7"/>
  <c r="HU23" i="7"/>
  <c r="HZ23" i="7"/>
  <c r="IF23" i="7"/>
  <c r="HU20" i="7"/>
  <c r="HY20" i="7"/>
  <c r="IC20" i="7"/>
  <c r="IG20" i="7"/>
  <c r="HU21" i="7"/>
  <c r="HY21" i="7"/>
  <c r="IC21" i="7"/>
  <c r="IG21" i="7"/>
  <c r="HU22" i="7"/>
  <c r="HY22" i="7"/>
  <c r="IC22" i="7"/>
  <c r="IG22" i="7"/>
  <c r="HV23" i="7"/>
  <c r="IB23" i="7"/>
  <c r="IG23" i="7"/>
  <c r="HV20" i="7"/>
  <c r="HZ20" i="7"/>
  <c r="ID20" i="7"/>
  <c r="IH20" i="7"/>
  <c r="HV21" i="7"/>
  <c r="HZ21" i="7"/>
  <c r="ID21" i="7"/>
  <c r="IH21" i="7"/>
  <c r="HV22" i="7"/>
  <c r="HZ22" i="7"/>
  <c r="ID22" i="7"/>
  <c r="IH22" i="7"/>
  <c r="HX23" i="7"/>
  <c r="IC23" i="7"/>
  <c r="IH23" i="7"/>
  <c r="HW20" i="7"/>
  <c r="IA20" i="7"/>
  <c r="IE20" i="7"/>
  <c r="II20" i="7"/>
  <c r="HW21" i="7"/>
  <c r="IA21" i="7"/>
  <c r="IE21" i="7"/>
  <c r="II21" i="7"/>
  <c r="HW22" i="7"/>
  <c r="IA22" i="7"/>
  <c r="IE22" i="7"/>
  <c r="II22" i="7"/>
  <c r="HT23" i="7"/>
  <c r="HY23" i="7"/>
  <c r="ID23" i="7"/>
  <c r="HW23" i="7"/>
  <c r="IA23" i="7"/>
  <c r="IE23" i="7"/>
  <c r="II23" i="7"/>
  <c r="HW24" i="7"/>
  <c r="IA24" i="7"/>
  <c r="IE24" i="7"/>
  <c r="II24" i="7"/>
  <c r="HW25" i="7"/>
  <c r="IA25" i="7"/>
  <c r="IE25" i="7"/>
  <c r="II25" i="7"/>
  <c r="HU26" i="7"/>
  <c r="IC26" i="7"/>
  <c r="HT24" i="7"/>
  <c r="HX24" i="7"/>
  <c r="IB24" i="7"/>
  <c r="IF24" i="7"/>
  <c r="HT25" i="7"/>
  <c r="HX25" i="7"/>
  <c r="IB25" i="7"/>
  <c r="IF25" i="7"/>
  <c r="HX26" i="7"/>
  <c r="IF26" i="7"/>
  <c r="HU24" i="7"/>
  <c r="HY24" i="7"/>
  <c r="IC24" i="7"/>
  <c r="IG24" i="7"/>
  <c r="HU25" i="7"/>
  <c r="HY25" i="7"/>
  <c r="IC25" i="7"/>
  <c r="IG25" i="7"/>
  <c r="HY26" i="7"/>
  <c r="IG26" i="7"/>
  <c r="HV24" i="7"/>
  <c r="HZ24" i="7"/>
  <c r="ID24" i="7"/>
  <c r="IH24" i="7"/>
  <c r="HV25" i="7"/>
  <c r="HZ25" i="7"/>
  <c r="ID25" i="7"/>
  <c r="IH25" i="7"/>
  <c r="HT26" i="7"/>
  <c r="IB26" i="7"/>
  <c r="HW26" i="7"/>
  <c r="IA26" i="7"/>
  <c r="IE26" i="7"/>
  <c r="II26" i="7"/>
  <c r="HW27" i="7"/>
  <c r="IA27" i="7"/>
  <c r="IE27" i="7"/>
  <c r="II27" i="7"/>
  <c r="HW28" i="7"/>
  <c r="IA28" i="7"/>
  <c r="IE28" i="7"/>
  <c r="II28" i="7"/>
  <c r="HT27" i="7"/>
  <c r="HX27" i="7"/>
  <c r="IB27" i="7"/>
  <c r="IF27" i="7"/>
  <c r="HT28" i="7"/>
  <c r="HX28" i="7"/>
  <c r="IB28" i="7"/>
  <c r="IF28" i="7"/>
  <c r="HU27" i="7"/>
  <c r="HY27" i="7"/>
  <c r="IC27" i="7"/>
  <c r="IG27" i="7"/>
  <c r="HU28" i="7"/>
  <c r="HY28" i="7"/>
  <c r="IC28" i="7"/>
  <c r="IG28" i="7"/>
  <c r="HV26" i="7"/>
  <c r="HZ26" i="7"/>
  <c r="ID26" i="7"/>
  <c r="IH26" i="7"/>
  <c r="HV27" i="7"/>
  <c r="HZ27" i="7"/>
  <c r="ID27" i="7"/>
  <c r="IH27" i="7"/>
  <c r="HV28" i="7"/>
  <c r="HZ28" i="7"/>
  <c r="ID28" i="7"/>
  <c r="IH28" i="7"/>
  <c r="HU29" i="7"/>
  <c r="HY29" i="7"/>
  <c r="IC29" i="7"/>
  <c r="IG29" i="7"/>
  <c r="HU30" i="7"/>
  <c r="HY30" i="7"/>
  <c r="IC30" i="7"/>
  <c r="IG30" i="7"/>
  <c r="HV29" i="7"/>
  <c r="HZ29" i="7"/>
  <c r="ID29" i="7"/>
  <c r="IH29" i="7"/>
  <c r="HV30" i="7"/>
  <c r="HZ30" i="7"/>
  <c r="ID30" i="7"/>
  <c r="IH30" i="7"/>
  <c r="HW29" i="7"/>
  <c r="IA29" i="7"/>
  <c r="IE29" i="7"/>
  <c r="II29" i="7"/>
  <c r="HW30" i="7"/>
  <c r="IA30" i="7"/>
  <c r="IE30" i="7"/>
  <c r="II30" i="7"/>
  <c r="HT29" i="7"/>
  <c r="HX29" i="7"/>
  <c r="IB29" i="7"/>
  <c r="IF29" i="7"/>
  <c r="HT30" i="7"/>
  <c r="HX30" i="7"/>
  <c r="IB30" i="7"/>
  <c r="IF30" i="7"/>
  <c r="HT31" i="7"/>
  <c r="HX31" i="7"/>
  <c r="IB31" i="7"/>
  <c r="IF31" i="7"/>
  <c r="HT32" i="7"/>
  <c r="HX32" i="7"/>
  <c r="IB32" i="7"/>
  <c r="IF32" i="7"/>
  <c r="HT33" i="7"/>
  <c r="HX33" i="7"/>
  <c r="IB33" i="7"/>
  <c r="IF33" i="7"/>
  <c r="HU31" i="7"/>
  <c r="HY31" i="7"/>
  <c r="IC31" i="7"/>
  <c r="IG31" i="7"/>
  <c r="HU32" i="7"/>
  <c r="HY32" i="7"/>
  <c r="IC32" i="7"/>
  <c r="IG32" i="7"/>
  <c r="HU33" i="7"/>
  <c r="HY33" i="7"/>
  <c r="IC33" i="7"/>
  <c r="IG33" i="7"/>
  <c r="HV31" i="7"/>
  <c r="HZ31" i="7"/>
  <c r="ID31" i="7"/>
  <c r="IH31" i="7"/>
  <c r="HV32" i="7"/>
  <c r="HZ32" i="7"/>
  <c r="ID32" i="7"/>
  <c r="IH32" i="7"/>
  <c r="HV33" i="7"/>
  <c r="HZ33" i="7"/>
  <c r="ID33" i="7"/>
  <c r="IH33" i="7"/>
  <c r="HW31" i="7"/>
  <c r="IA31" i="7"/>
  <c r="IE31" i="7"/>
  <c r="II31" i="7"/>
  <c r="HW32" i="7"/>
  <c r="IA32" i="7"/>
  <c r="IE32" i="7"/>
  <c r="II32" i="7"/>
  <c r="HW33" i="7"/>
  <c r="IA33" i="7"/>
  <c r="IE33" i="7"/>
  <c r="II33" i="7"/>
  <c r="HV21" i="8"/>
  <c r="HZ21" i="8"/>
  <c r="ID21" i="8"/>
  <c r="IH21" i="8"/>
  <c r="HV22" i="8"/>
  <c r="HZ22" i="8"/>
  <c r="ID22" i="8"/>
  <c r="IH22" i="8"/>
  <c r="HV23" i="8"/>
  <c r="HZ23" i="8"/>
  <c r="ID23" i="8"/>
  <c r="IH23" i="8"/>
  <c r="HV24" i="8"/>
  <c r="HZ24" i="8"/>
  <c r="ID24" i="8"/>
  <c r="IH24" i="8"/>
  <c r="HV25" i="8"/>
  <c r="HZ25" i="8"/>
  <c r="ID25" i="8"/>
  <c r="IH25" i="8"/>
  <c r="HV26" i="8"/>
  <c r="HZ26" i="8"/>
  <c r="ID26" i="8"/>
  <c r="IH26" i="8"/>
  <c r="HV27" i="8"/>
  <c r="HZ27" i="8"/>
  <c r="ID27" i="8"/>
  <c r="IH27" i="8"/>
  <c r="HV28" i="8"/>
  <c r="HZ28" i="8"/>
  <c r="ID28" i="8"/>
  <c r="IH28" i="8"/>
  <c r="HV29" i="8"/>
  <c r="HZ29" i="8"/>
  <c r="ID29" i="8"/>
  <c r="IH29" i="8"/>
  <c r="HV30" i="8"/>
  <c r="HZ30" i="8"/>
  <c r="ID30" i="8"/>
  <c r="IH30" i="8"/>
  <c r="HV31" i="8"/>
  <c r="HZ31" i="8"/>
  <c r="ID31" i="8"/>
  <c r="IH31" i="8"/>
  <c r="HV32" i="8"/>
  <c r="HZ32" i="8"/>
  <c r="ID32" i="8"/>
  <c r="IH32" i="8"/>
  <c r="HV33" i="8"/>
  <c r="HZ33" i="8"/>
  <c r="ID33" i="8"/>
  <c r="IH33" i="8"/>
  <c r="HW21" i="8"/>
  <c r="IA21" i="8"/>
  <c r="IE21" i="8"/>
  <c r="II21" i="8"/>
  <c r="HW22" i="8"/>
  <c r="IA22" i="8"/>
  <c r="IE22" i="8"/>
  <c r="II22" i="8"/>
  <c r="HW23" i="8"/>
  <c r="IA23" i="8"/>
  <c r="IE23" i="8"/>
  <c r="II23" i="8"/>
  <c r="HW24" i="8"/>
  <c r="IA24" i="8"/>
  <c r="IE24" i="8"/>
  <c r="II24" i="8"/>
  <c r="HW25" i="8"/>
  <c r="IA25" i="8"/>
  <c r="IE25" i="8"/>
  <c r="II25" i="8"/>
  <c r="HW26" i="8"/>
  <c r="IA26" i="8"/>
  <c r="IE26" i="8"/>
  <c r="II26" i="8"/>
  <c r="HW27" i="8"/>
  <c r="IA27" i="8"/>
  <c r="IE27" i="8"/>
  <c r="II27" i="8"/>
  <c r="HW28" i="8"/>
  <c r="IA28" i="8"/>
  <c r="IE28" i="8"/>
  <c r="II28" i="8"/>
  <c r="HW29" i="8"/>
  <c r="IA29" i="8"/>
  <c r="IE29" i="8"/>
  <c r="II29" i="8"/>
  <c r="HW30" i="8"/>
  <c r="IA30" i="8"/>
  <c r="IE30" i="8"/>
  <c r="II30" i="8"/>
  <c r="HW31" i="8"/>
  <c r="IA31" i="8"/>
  <c r="IE31" i="8"/>
  <c r="II31" i="8"/>
  <c r="HW32" i="8"/>
  <c r="IA32" i="8"/>
  <c r="IE32" i="8"/>
  <c r="II32" i="8"/>
  <c r="HW33" i="8"/>
  <c r="IA33" i="8"/>
  <c r="IE33" i="8"/>
  <c r="II33" i="8"/>
  <c r="HX21" i="8"/>
  <c r="IB21" i="8"/>
  <c r="IF21" i="8"/>
  <c r="IJ21" i="8"/>
  <c r="HX22" i="8"/>
  <c r="IB22" i="8"/>
  <c r="IF22" i="8"/>
  <c r="IJ22" i="8"/>
  <c r="HX23" i="8"/>
  <c r="IB23" i="8"/>
  <c r="IF23" i="8"/>
  <c r="IJ23" i="8"/>
  <c r="HX24" i="8"/>
  <c r="IB24" i="8"/>
  <c r="IF24" i="8"/>
  <c r="IJ24" i="8"/>
  <c r="HX25" i="8"/>
  <c r="IB25" i="8"/>
  <c r="IF25" i="8"/>
  <c r="IJ25" i="8"/>
  <c r="HX26" i="8"/>
  <c r="IB26" i="8"/>
  <c r="IF26" i="8"/>
  <c r="IJ26" i="8"/>
  <c r="HX27" i="8"/>
  <c r="IB27" i="8"/>
  <c r="IF27" i="8"/>
  <c r="IJ27" i="8"/>
  <c r="HX28" i="8"/>
  <c r="IB28" i="8"/>
  <c r="IF28" i="8"/>
  <c r="IJ28" i="8"/>
  <c r="HX29" i="8"/>
  <c r="IB29" i="8"/>
  <c r="IF29" i="8"/>
  <c r="IJ29" i="8"/>
  <c r="HX30" i="8"/>
  <c r="IB30" i="8"/>
  <c r="IF30" i="8"/>
  <c r="IJ30" i="8"/>
  <c r="HX31" i="8"/>
  <c r="IB31" i="8"/>
  <c r="IF31" i="8"/>
  <c r="IJ31" i="8"/>
  <c r="HX32" i="8"/>
  <c r="IB32" i="8"/>
  <c r="IF32" i="8"/>
  <c r="IJ32" i="8"/>
  <c r="HX33" i="8"/>
  <c r="IB33" i="8"/>
  <c r="IF33" i="8"/>
  <c r="IJ33" i="8"/>
  <c r="HY21" i="8"/>
  <c r="IC21" i="8"/>
  <c r="IG21" i="8"/>
  <c r="IK21" i="8"/>
  <c r="HY22" i="8"/>
  <c r="IC22" i="8"/>
  <c r="IG22" i="8"/>
  <c r="IK22" i="8"/>
  <c r="HY23" i="8"/>
  <c r="IC23" i="8"/>
  <c r="IG23" i="8"/>
  <c r="IK23" i="8"/>
  <c r="HY24" i="8"/>
  <c r="IC24" i="8"/>
  <c r="IG24" i="8"/>
  <c r="IK24" i="8"/>
  <c r="HY25" i="8"/>
  <c r="IC25" i="8"/>
  <c r="IG25" i="8"/>
  <c r="IK25" i="8"/>
  <c r="HY26" i="8"/>
  <c r="IC26" i="8"/>
  <c r="IG26" i="8"/>
  <c r="IK26" i="8"/>
  <c r="HY27" i="8"/>
  <c r="IC27" i="8"/>
  <c r="IG27" i="8"/>
  <c r="IK27" i="8"/>
  <c r="HY28" i="8"/>
  <c r="IC28" i="8"/>
  <c r="IG28" i="8"/>
  <c r="IK28" i="8"/>
  <c r="HY29" i="8"/>
  <c r="IC29" i="8"/>
  <c r="IG29" i="8"/>
  <c r="IK29" i="8"/>
  <c r="HY30" i="8"/>
  <c r="IC30" i="8"/>
  <c r="IG30" i="8"/>
  <c r="IK30" i="8"/>
  <c r="HY31" i="8"/>
  <c r="IC31" i="8"/>
  <c r="IG31" i="8"/>
  <c r="IK31" i="8"/>
  <c r="HY32" i="8"/>
  <c r="IC32" i="8"/>
  <c r="IG32" i="8"/>
  <c r="IK32" i="8"/>
  <c r="HY33" i="8"/>
  <c r="IC33" i="8"/>
  <c r="IG33" i="8"/>
  <c r="IK33" i="8"/>
  <c r="HZ20" i="8"/>
  <c r="ID20" i="8"/>
  <c r="IH20" i="8"/>
  <c r="HW20" i="8"/>
  <c r="IA20" i="8"/>
  <c r="IE20" i="8"/>
  <c r="II20" i="8"/>
  <c r="HX20" i="8"/>
  <c r="IB20" i="8"/>
  <c r="IF20" i="8"/>
  <c r="IJ20" i="8"/>
  <c r="HY20" i="8"/>
  <c r="IC20" i="8"/>
  <c r="IG20" i="8"/>
  <c r="IK20" i="8"/>
  <c r="HV20" i="8"/>
  <c r="JB9" i="8" l="1"/>
  <c r="JA9" i="8"/>
  <c r="IZ9" i="8"/>
  <c r="IY9" i="8"/>
  <c r="IX9" i="8"/>
  <c r="IW9" i="8"/>
  <c r="IV9" i="8"/>
  <c r="IU9" i="8"/>
  <c r="IT9" i="8"/>
  <c r="IS9" i="8"/>
  <c r="IR9" i="8"/>
  <c r="IQ9" i="8"/>
  <c r="IP9" i="8"/>
  <c r="IO9" i="8"/>
  <c r="IN9" i="8"/>
  <c r="IM9" i="8"/>
  <c r="IK9" i="8"/>
  <c r="IJ9" i="8"/>
  <c r="II9" i="8"/>
  <c r="IH9" i="8"/>
  <c r="IG9" i="8"/>
  <c r="IF9" i="8"/>
  <c r="IE9" i="8"/>
  <c r="ID9" i="8"/>
  <c r="IC9" i="8"/>
  <c r="IB9" i="8"/>
  <c r="IA9" i="8"/>
  <c r="HZ9" i="8"/>
  <c r="HY9" i="8"/>
  <c r="HX9" i="8"/>
  <c r="HW9" i="8"/>
  <c r="HV9" i="8"/>
  <c r="HQ9" i="8"/>
  <c r="HP9" i="8"/>
  <c r="HO9" i="8"/>
  <c r="HN9" i="8"/>
  <c r="HM9" i="8"/>
  <c r="HL9" i="8"/>
  <c r="HK9" i="8"/>
  <c r="HJ9" i="8"/>
  <c r="HI9" i="8"/>
  <c r="HH9" i="8"/>
  <c r="HG9" i="8"/>
  <c r="HF9" i="8"/>
  <c r="HE9" i="8"/>
  <c r="HD9" i="8"/>
  <c r="HC9" i="8"/>
  <c r="HB9" i="8"/>
  <c r="GZ9" i="8"/>
  <c r="GY9" i="8"/>
  <c r="GX9" i="8"/>
  <c r="GW9" i="8"/>
  <c r="GV9" i="8"/>
  <c r="GU9" i="8"/>
  <c r="GT9" i="8"/>
  <c r="GS9" i="8"/>
  <c r="GR9" i="8"/>
  <c r="GQ9" i="8"/>
  <c r="GP9" i="8"/>
  <c r="GO9" i="8"/>
  <c r="GN9" i="8"/>
  <c r="GM9" i="8"/>
  <c r="GL9" i="8"/>
  <c r="GK9" i="8"/>
  <c r="GI9" i="8"/>
  <c r="GH9" i="8"/>
  <c r="GG9" i="8"/>
  <c r="GF9" i="8"/>
  <c r="GE9" i="8"/>
  <c r="GD9" i="8"/>
  <c r="GC9" i="8"/>
  <c r="GB9" i="8"/>
  <c r="GA9" i="8"/>
  <c r="FZ9" i="8"/>
  <c r="FY9" i="8"/>
  <c r="FX9" i="8"/>
  <c r="FW9" i="8"/>
  <c r="FV9" i="8"/>
  <c r="FU9" i="8"/>
  <c r="FT9" i="8"/>
  <c r="FR9" i="8"/>
  <c r="FQ9" i="8"/>
  <c r="FP9" i="8"/>
  <c r="FO9" i="8"/>
  <c r="FN9" i="8"/>
  <c r="FM9" i="8"/>
  <c r="FL9" i="8"/>
  <c r="FK9" i="8"/>
  <c r="FJ9" i="8"/>
  <c r="FI9" i="8"/>
  <c r="FH9" i="8"/>
  <c r="FG9" i="8"/>
  <c r="FF9" i="8"/>
  <c r="FE9" i="8"/>
  <c r="FD9" i="8"/>
  <c r="FC9" i="8"/>
  <c r="FA9" i="8"/>
  <c r="EZ9" i="8"/>
  <c r="EY9" i="8"/>
  <c r="EX9" i="8"/>
  <c r="EW9" i="8"/>
  <c r="EV9" i="8"/>
  <c r="EU9" i="8"/>
  <c r="ET9" i="8"/>
  <c r="ES9" i="8"/>
  <c r="ER9" i="8"/>
  <c r="EQ9" i="8"/>
  <c r="EP9" i="8"/>
  <c r="EO9" i="8"/>
  <c r="EN9" i="8"/>
  <c r="EM9" i="8"/>
  <c r="EL9" i="8"/>
  <c r="EJ9" i="8"/>
  <c r="EI9" i="8"/>
  <c r="EH9" i="8"/>
  <c r="EG9" i="8"/>
  <c r="EF9" i="8"/>
  <c r="EE9" i="8"/>
  <c r="ED9" i="8"/>
  <c r="EC9" i="8"/>
  <c r="EB9" i="8"/>
  <c r="EA9" i="8"/>
  <c r="DZ9" i="8"/>
  <c r="DY9" i="8"/>
  <c r="DX9" i="8"/>
  <c r="DW9" i="8"/>
  <c r="DV9" i="8"/>
  <c r="DU9" i="8"/>
  <c r="DS9" i="8"/>
  <c r="DR9" i="8"/>
  <c r="DQ9" i="8"/>
  <c r="DP9" i="8"/>
  <c r="DO9" i="8"/>
  <c r="DN9" i="8"/>
  <c r="DM9" i="8"/>
  <c r="DL9" i="8"/>
  <c r="DK9" i="8"/>
  <c r="DJ9" i="8"/>
  <c r="DI9" i="8"/>
  <c r="DH9" i="8"/>
  <c r="DG9" i="8"/>
  <c r="DF9" i="8"/>
  <c r="DE9" i="8"/>
  <c r="DD9" i="8"/>
  <c r="DB9" i="8"/>
  <c r="DA9" i="8"/>
  <c r="CZ9" i="8"/>
  <c r="CY9" i="8"/>
  <c r="CX9" i="8"/>
  <c r="CW9" i="8"/>
  <c r="CV9" i="8"/>
  <c r="CU9" i="8"/>
  <c r="CT9" i="8"/>
  <c r="CS9" i="8"/>
  <c r="CR9" i="8"/>
  <c r="CQ9" i="8"/>
  <c r="CP9" i="8"/>
  <c r="CO9" i="8"/>
  <c r="CN9" i="8"/>
  <c r="CM9" i="8"/>
  <c r="CK9" i="8"/>
  <c r="CJ9" i="8"/>
  <c r="CI9" i="8"/>
  <c r="CH9" i="8"/>
  <c r="CG9" i="8"/>
  <c r="CF9" i="8"/>
  <c r="CE9" i="8"/>
  <c r="CD9" i="8"/>
  <c r="CC9" i="8"/>
  <c r="CB9" i="8"/>
  <c r="CA9" i="8"/>
  <c r="BZ9" i="8"/>
  <c r="BY9" i="8"/>
  <c r="BX9" i="8"/>
  <c r="BW9" i="8"/>
  <c r="BV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U5" i="8"/>
  <c r="IZ9" i="7"/>
  <c r="IY9" i="7"/>
  <c r="IX9" i="7"/>
  <c r="IW9" i="7"/>
  <c r="IV9" i="7"/>
  <c r="IU9" i="7"/>
  <c r="IT9" i="7"/>
  <c r="IS9" i="7"/>
  <c r="IR9" i="7"/>
  <c r="IQ9" i="7"/>
  <c r="IP9" i="7"/>
  <c r="IO9" i="7"/>
  <c r="IN9" i="7"/>
  <c r="IM9" i="7"/>
  <c r="IL9" i="7"/>
  <c r="IK9" i="7"/>
  <c r="II9" i="7"/>
  <c r="IH9" i="7"/>
  <c r="IG9" i="7"/>
  <c r="IF9" i="7"/>
  <c r="IE9" i="7"/>
  <c r="ID9" i="7"/>
  <c r="IC9" i="7"/>
  <c r="IB9" i="7"/>
  <c r="IA9" i="7"/>
  <c r="HZ9" i="7"/>
  <c r="HY9" i="7"/>
  <c r="HX9" i="7"/>
  <c r="HW9" i="7"/>
  <c r="HV9" i="7"/>
  <c r="HU9" i="7"/>
  <c r="HT9" i="7"/>
  <c r="HQ9" i="7"/>
  <c r="HP9" i="7"/>
  <c r="HO9" i="7"/>
  <c r="HN9" i="7"/>
  <c r="HM9" i="7"/>
  <c r="HL9" i="7"/>
  <c r="HK9" i="7"/>
  <c r="HJ9" i="7"/>
  <c r="HI9" i="7"/>
  <c r="HH9" i="7"/>
  <c r="HG9" i="7"/>
  <c r="HF9" i="7"/>
  <c r="HE9" i="7"/>
  <c r="HD9" i="7"/>
  <c r="HC9" i="7"/>
  <c r="HB9" i="7"/>
  <c r="GZ9" i="7"/>
  <c r="GY9" i="7"/>
  <c r="GX9" i="7"/>
  <c r="GW9" i="7"/>
  <c r="GV9" i="7"/>
  <c r="GU9" i="7"/>
  <c r="GT9" i="7"/>
  <c r="GS9" i="7"/>
  <c r="GR9" i="7"/>
  <c r="GQ9" i="7"/>
  <c r="GP9" i="7"/>
  <c r="GO9" i="7"/>
  <c r="GN9" i="7"/>
  <c r="GM9" i="7"/>
  <c r="GL9" i="7"/>
  <c r="GK9" i="7"/>
  <c r="D2" i="7" l="1"/>
  <c r="D2" i="8" s="1"/>
  <c r="IU11" i="8"/>
  <c r="IR12" i="8"/>
  <c r="HX16" i="8"/>
  <c r="IO10" i="8"/>
  <c r="IJ11" i="8"/>
  <c r="IE10" i="8"/>
  <c r="IV10" i="8"/>
  <c r="IE11" i="8"/>
  <c r="IV11" i="8"/>
  <c r="IC17" i="8"/>
  <c r="IC16" i="8"/>
  <c r="IK15" i="8"/>
  <c r="IP17" i="8"/>
  <c r="IX17" i="8"/>
  <c r="IX16" i="8"/>
  <c r="JB15" i="8"/>
  <c r="HV15" i="8"/>
  <c r="HZ17" i="8"/>
  <c r="HZ13" i="8"/>
  <c r="ID15" i="8"/>
  <c r="IH17" i="8"/>
  <c r="IH13" i="8"/>
  <c r="IQ16" i="8"/>
  <c r="HV10" i="8"/>
  <c r="HW13" i="8"/>
  <c r="IA16" i="8"/>
  <c r="IE14" i="8"/>
  <c r="II15" i="8"/>
  <c r="IZ17" i="8"/>
  <c r="IZ16" i="8"/>
  <c r="IZ13" i="8"/>
  <c r="GI9" i="7"/>
  <c r="GH9" i="7"/>
  <c r="GG9" i="7"/>
  <c r="GF9" i="7"/>
  <c r="GE9" i="7"/>
  <c r="GD9" i="7"/>
  <c r="GC9" i="7"/>
  <c r="GB9" i="7"/>
  <c r="GA9" i="7"/>
  <c r="FZ9" i="7"/>
  <c r="FY9" i="7"/>
  <c r="FX9" i="7"/>
  <c r="FW9" i="7"/>
  <c r="FV9" i="7"/>
  <c r="FU9" i="7"/>
  <c r="FT9" i="7"/>
  <c r="FR9" i="7"/>
  <c r="FQ9" i="7"/>
  <c r="FP9" i="7"/>
  <c r="FO9" i="7"/>
  <c r="FN9" i="7"/>
  <c r="FM9" i="7"/>
  <c r="FL9" i="7"/>
  <c r="FK9" i="7"/>
  <c r="FJ9" i="7"/>
  <c r="FI9" i="7"/>
  <c r="FH9" i="7"/>
  <c r="FG9" i="7"/>
  <c r="FF9" i="7"/>
  <c r="FE9" i="7"/>
  <c r="FD9" i="7"/>
  <c r="FC9" i="7"/>
  <c r="FA9" i="7"/>
  <c r="EZ9" i="7"/>
  <c r="EY9" i="7"/>
  <c r="EX9" i="7"/>
  <c r="EW9" i="7"/>
  <c r="EV9" i="7"/>
  <c r="EU9" i="7"/>
  <c r="ET9" i="7"/>
  <c r="ES9" i="7"/>
  <c r="ER9" i="7"/>
  <c r="EQ9" i="7"/>
  <c r="EP9" i="7"/>
  <c r="EO9" i="7"/>
  <c r="EN9" i="7"/>
  <c r="EM9" i="7"/>
  <c r="EL9" i="7"/>
  <c r="EJ9" i="7"/>
  <c r="EI9" i="7"/>
  <c r="EH9" i="7"/>
  <c r="EG9" i="7"/>
  <c r="EF9" i="7"/>
  <c r="EE9" i="7"/>
  <c r="ED9" i="7"/>
  <c r="EC9" i="7"/>
  <c r="EB9" i="7"/>
  <c r="EA9" i="7"/>
  <c r="DZ9" i="7"/>
  <c r="DY9" i="7"/>
  <c r="DX9" i="7"/>
  <c r="DW9" i="7"/>
  <c r="DV9" i="7"/>
  <c r="DU9" i="7"/>
  <c r="DS9" i="7"/>
  <c r="DR9" i="7"/>
  <c r="DQ9" i="7"/>
  <c r="DP9" i="7"/>
  <c r="DO9" i="7"/>
  <c r="DN9" i="7"/>
  <c r="DM9" i="7"/>
  <c r="DL9" i="7"/>
  <c r="DK9" i="7"/>
  <c r="DJ9" i="7"/>
  <c r="DI9" i="7"/>
  <c r="DH9" i="7"/>
  <c r="DG9" i="7"/>
  <c r="DF9" i="7"/>
  <c r="DE9" i="7"/>
  <c r="DD9" i="7"/>
  <c r="DB9" i="7"/>
  <c r="DA9" i="7"/>
  <c r="CZ9" i="7"/>
  <c r="CY9" i="7"/>
  <c r="CX9" i="7"/>
  <c r="CW9" i="7"/>
  <c r="CV9" i="7"/>
  <c r="CU9" i="7"/>
  <c r="CT9" i="7"/>
  <c r="CS9" i="7"/>
  <c r="CR9" i="7"/>
  <c r="CQ9" i="7"/>
  <c r="CP9" i="7"/>
  <c r="CO9" i="7"/>
  <c r="CN9" i="7"/>
  <c r="CM9" i="7"/>
  <c r="CK9" i="7"/>
  <c r="CJ9" i="7"/>
  <c r="CI9" i="7"/>
  <c r="CH9" i="7"/>
  <c r="CG9" i="7"/>
  <c r="CF9" i="7"/>
  <c r="CE9" i="7"/>
  <c r="CD9" i="7"/>
  <c r="CC9" i="7"/>
  <c r="CB9" i="7"/>
  <c r="CA9" i="7"/>
  <c r="BZ9" i="7"/>
  <c r="BY9" i="7"/>
  <c r="BX9" i="7"/>
  <c r="BW9" i="7"/>
  <c r="BV9" i="7"/>
  <c r="BT9" i="7"/>
  <c r="BS9" i="7"/>
  <c r="BR9" i="7"/>
  <c r="BQ9" i="7"/>
  <c r="BP9" i="7"/>
  <c r="BO9" i="7"/>
  <c r="BN9" i="7"/>
  <c r="BM9" i="7"/>
  <c r="BL9" i="7"/>
  <c r="BK9" i="7"/>
  <c r="BJ9" i="7"/>
  <c r="BI9" i="7"/>
  <c r="BH9" i="7"/>
  <c r="BG9" i="7"/>
  <c r="BF9" i="7"/>
  <c r="BE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U5" i="7"/>
  <c r="IR17" i="8" l="1"/>
  <c r="IW18" i="7"/>
  <c r="IZ19" i="8"/>
  <c r="IR18" i="8"/>
  <c r="II18" i="8"/>
  <c r="IA19" i="8"/>
  <c r="HU18" i="7"/>
  <c r="IU18" i="8"/>
  <c r="IQ19" i="8"/>
  <c r="IH18" i="8"/>
  <c r="HZ18" i="8"/>
  <c r="IO18" i="7"/>
  <c r="IB18" i="7"/>
  <c r="JB19" i="8"/>
  <c r="IT19" i="8"/>
  <c r="IK18" i="8"/>
  <c r="IG19" i="8"/>
  <c r="IS19" i="8"/>
  <c r="IF18" i="8"/>
  <c r="IV19" i="8"/>
  <c r="IN18" i="8"/>
  <c r="IE19" i="8"/>
  <c r="HW18" i="8"/>
  <c r="IU19" i="8"/>
  <c r="IM18" i="8"/>
  <c r="IH19" i="8"/>
  <c r="HZ19" i="8"/>
  <c r="IS19" i="7"/>
  <c r="IF18" i="7"/>
  <c r="HT18" i="7"/>
  <c r="IX18" i="8"/>
  <c r="IK19" i="8"/>
  <c r="IC18" i="8"/>
  <c r="IW18" i="8"/>
  <c r="IJ18" i="8"/>
  <c r="IF19" i="8"/>
  <c r="HX18" i="8"/>
  <c r="IV18" i="8"/>
  <c r="IN19" i="8"/>
  <c r="IE18" i="8"/>
  <c r="HW19" i="8"/>
  <c r="IP18" i="7"/>
  <c r="IY18" i="8"/>
  <c r="IM19" i="8"/>
  <c r="ID18" i="8"/>
  <c r="HV18" i="8"/>
  <c r="IS18" i="7"/>
  <c r="IK19" i="7"/>
  <c r="IX19" i="8"/>
  <c r="IP18" i="8"/>
  <c r="IC19" i="8"/>
  <c r="HY19" i="8"/>
  <c r="JA18" i="8"/>
  <c r="IW19" i="8"/>
  <c r="IO18" i="8"/>
  <c r="IJ19" i="8"/>
  <c r="IB18" i="8"/>
  <c r="HX19" i="8"/>
  <c r="IL18" i="7"/>
  <c r="IX19" i="7"/>
  <c r="IY18" i="7"/>
  <c r="IZ18" i="8"/>
  <c r="IR19" i="8"/>
  <c r="II19" i="8"/>
  <c r="IA18" i="8"/>
  <c r="IT19" i="7"/>
  <c r="IL19" i="7"/>
  <c r="IY19" i="8"/>
  <c r="IQ18" i="8"/>
  <c r="ID19" i="8"/>
  <c r="HV19" i="8"/>
  <c r="IW19" i="7"/>
  <c r="IO19" i="7"/>
  <c r="IK18" i="7"/>
  <c r="HX18" i="7"/>
  <c r="JB18" i="8"/>
  <c r="IT18" i="8"/>
  <c r="IP19" i="8"/>
  <c r="IG18" i="8"/>
  <c r="HY18" i="8"/>
  <c r="IZ19" i="7"/>
  <c r="IV19" i="7"/>
  <c r="II18" i="7"/>
  <c r="JA19" i="8"/>
  <c r="IS18" i="8"/>
  <c r="IO19" i="8"/>
  <c r="IB19" i="8"/>
  <c r="IY19" i="7"/>
  <c r="IQ19" i="7"/>
  <c r="JA17" i="8"/>
  <c r="IC10" i="8"/>
  <c r="HX13" i="8"/>
  <c r="IJ17" i="8"/>
  <c r="IA11" i="8"/>
  <c r="IN15" i="8"/>
  <c r="IV17" i="8"/>
  <c r="IN11" i="8"/>
  <c r="IE16" i="8"/>
  <c r="II13" i="8"/>
  <c r="II16" i="8"/>
  <c r="IY14" i="8"/>
  <c r="IM14" i="8"/>
  <c r="IU17" i="8"/>
  <c r="IU15" i="8"/>
  <c r="IY17" i="8"/>
  <c r="IQ10" i="8"/>
  <c r="IH14" i="8"/>
  <c r="ID13" i="8"/>
  <c r="HZ14" i="8"/>
  <c r="HZ15" i="8"/>
  <c r="HV14" i="8"/>
  <c r="IK13" i="8"/>
  <c r="IT12" i="8"/>
  <c r="IT13" i="8"/>
  <c r="JB13" i="8"/>
  <c r="IX15" i="8"/>
  <c r="IT15" i="8"/>
  <c r="IG16" i="8"/>
  <c r="IK12" i="8"/>
  <c r="IC12" i="8"/>
  <c r="HY14" i="8"/>
  <c r="IW16" i="8"/>
  <c r="IB15" i="8"/>
  <c r="IE15" i="8"/>
  <c r="IQ12" i="8"/>
  <c r="ID16" i="8"/>
  <c r="JB16" i="8"/>
  <c r="IC14" i="8"/>
  <c r="IS11" i="8"/>
  <c r="IB10" i="8"/>
  <c r="JA16" i="8"/>
  <c r="IR10" i="8"/>
  <c r="IZ14" i="8"/>
  <c r="IV13" i="8"/>
  <c r="IN12" i="8"/>
  <c r="IA17" i="8"/>
  <c r="HY10" i="8"/>
  <c r="JA10" i="8"/>
  <c r="IT10" i="8"/>
  <c r="IF14" i="8"/>
  <c r="IS15" i="8"/>
  <c r="JA15" i="8"/>
  <c r="IO13" i="8"/>
  <c r="IJ13" i="8"/>
  <c r="IF17" i="8"/>
  <c r="IB17" i="8"/>
  <c r="HX17" i="8"/>
  <c r="IZ15" i="8"/>
  <c r="IV14" i="8"/>
  <c r="IR11" i="8"/>
  <c r="IR14" i="8"/>
  <c r="IN16" i="8"/>
  <c r="II17" i="8"/>
  <c r="IA13" i="8"/>
  <c r="IA15" i="8"/>
  <c r="HW17" i="8"/>
  <c r="IY15" i="8"/>
  <c r="IU13" i="8"/>
  <c r="IQ13" i="8"/>
  <c r="IQ17" i="8"/>
  <c r="IH15" i="8"/>
  <c r="ID12" i="8"/>
  <c r="ID17" i="8"/>
  <c r="HZ12" i="8"/>
  <c r="HV12" i="8"/>
  <c r="HV17" i="8"/>
  <c r="JB14" i="8"/>
  <c r="IX14" i="8"/>
  <c r="IT11" i="8"/>
  <c r="IT16" i="8"/>
  <c r="IP13" i="8"/>
  <c r="IP15" i="8"/>
  <c r="IK14" i="8"/>
  <c r="IK17" i="8"/>
  <c r="IB14" i="8"/>
  <c r="IJ10" i="8"/>
  <c r="HW15" i="8"/>
  <c r="IY13" i="8"/>
  <c r="IX13" i="8"/>
  <c r="IP16" i="8"/>
  <c r="IS17" i="8"/>
  <c r="IW15" i="8"/>
  <c r="HX14" i="8"/>
  <c r="IF15" i="8"/>
  <c r="IR15" i="8"/>
  <c r="IN17" i="8"/>
  <c r="IV16" i="8"/>
  <c r="IR16" i="8"/>
  <c r="IN13" i="8"/>
  <c r="IV15" i="8"/>
  <c r="IR13" i="8"/>
  <c r="IN14" i="8"/>
  <c r="IA14" i="8"/>
  <c r="HW14" i="8"/>
  <c r="IE17" i="8"/>
  <c r="II14" i="8"/>
  <c r="IE13" i="8"/>
  <c r="HW16" i="8"/>
  <c r="ID10" i="8"/>
  <c r="IM16" i="8"/>
  <c r="IU14" i="8"/>
  <c r="IQ14" i="8"/>
  <c r="IM13" i="8"/>
  <c r="IY16" i="8"/>
  <c r="IU12" i="8"/>
  <c r="IU16" i="8"/>
  <c r="IM12" i="8"/>
  <c r="IM15" i="8"/>
  <c r="IQ15" i="8"/>
  <c r="IM17" i="8"/>
  <c r="IH16" i="8"/>
  <c r="ID14" i="8"/>
  <c r="HZ16" i="8"/>
  <c r="HV13" i="8"/>
  <c r="HV16" i="8"/>
  <c r="IC11" i="8"/>
  <c r="IT17" i="8"/>
  <c r="IP12" i="8"/>
  <c r="JB12" i="8"/>
  <c r="IT14" i="8"/>
  <c r="IP14" i="8"/>
  <c r="JB17" i="8"/>
  <c r="IG14" i="8"/>
  <c r="IK16" i="8"/>
  <c r="HY17" i="8"/>
  <c r="IG13" i="8"/>
  <c r="IG17" i="8"/>
  <c r="IC13" i="8"/>
  <c r="HY13" i="8"/>
  <c r="HY15" i="8"/>
  <c r="IG15" i="8"/>
  <c r="IC15" i="8"/>
  <c r="HY12" i="8"/>
  <c r="HY16" i="8"/>
  <c r="IB11" i="8"/>
  <c r="IJ14" i="8"/>
  <c r="IF13" i="8"/>
  <c r="IB13" i="8"/>
  <c r="IO16" i="8"/>
  <c r="IJ15" i="8"/>
  <c r="HT16" i="7"/>
  <c r="HT17" i="7"/>
  <c r="HX17" i="7"/>
  <c r="IS12" i="7"/>
  <c r="IO12" i="7"/>
  <c r="IO17" i="7"/>
  <c r="IK11" i="7"/>
  <c r="HY15" i="7"/>
  <c r="HY13" i="7"/>
  <c r="HU13" i="7"/>
  <c r="IX14" i="7"/>
  <c r="IH15" i="7"/>
  <c r="IY17" i="7"/>
  <c r="IY13" i="7"/>
  <c r="IY16" i="7"/>
  <c r="HX11" i="8"/>
  <c r="IS16" i="8"/>
  <c r="IO11" i="8"/>
  <c r="IS10" i="8"/>
  <c r="HX10" i="8"/>
  <c r="JA14" i="8"/>
  <c r="IW13" i="8"/>
  <c r="IW17" i="8"/>
  <c r="IO17" i="8"/>
  <c r="IJ16" i="8"/>
  <c r="IF16" i="8"/>
  <c r="JA13" i="8"/>
  <c r="IO12" i="8"/>
  <c r="IS12" i="8"/>
  <c r="IU10" i="8"/>
  <c r="IB16" i="8"/>
  <c r="IO14" i="8"/>
  <c r="IW14" i="8"/>
  <c r="IS13" i="8"/>
  <c r="IS14" i="8"/>
  <c r="IP10" i="8"/>
  <c r="JA11" i="8"/>
  <c r="IO15" i="8"/>
  <c r="HX12" i="8"/>
  <c r="JA12" i="8"/>
  <c r="HX15" i="8"/>
  <c r="IB12" i="8"/>
  <c r="IJ12" i="8"/>
  <c r="II10" i="8"/>
  <c r="II11" i="8"/>
  <c r="IZ11" i="8"/>
  <c r="IZ10" i="8"/>
  <c r="IA10" i="8"/>
  <c r="IZ12" i="8"/>
  <c r="IG11" i="8"/>
  <c r="IX10" i="8"/>
  <c r="IX12" i="8"/>
  <c r="IG12" i="8"/>
  <c r="IW12" i="8"/>
  <c r="IF12" i="8"/>
  <c r="IV12" i="8"/>
  <c r="IE12" i="8"/>
  <c r="IG10" i="8"/>
  <c r="IY10" i="8"/>
  <c r="IH10" i="8"/>
  <c r="IW10" i="8"/>
  <c r="IF10" i="8"/>
  <c r="IY11" i="8"/>
  <c r="IH11" i="8"/>
  <c r="IW11" i="8"/>
  <c r="IF11" i="8"/>
  <c r="II12" i="8"/>
  <c r="IY12" i="8"/>
  <c r="IH12" i="8"/>
  <c r="IX11" i="8"/>
  <c r="HW12" i="8"/>
  <c r="JB10" i="8"/>
  <c r="IQ11" i="8"/>
  <c r="HZ11" i="8"/>
  <c r="IN10" i="8"/>
  <c r="ID11" i="8"/>
  <c r="JB11" i="8"/>
  <c r="HW10" i="8"/>
  <c r="HZ10" i="8"/>
  <c r="IM10" i="8"/>
  <c r="IP11" i="8"/>
  <c r="IK11" i="8"/>
  <c r="HY11" i="8"/>
  <c r="HW11" i="8"/>
  <c r="IA12" i="8"/>
  <c r="HV11" i="8"/>
  <c r="IM11" i="8"/>
  <c r="IK10" i="8"/>
  <c r="IH14" i="7"/>
  <c r="HV11" i="7"/>
  <c r="HV12" i="7"/>
  <c r="HZ13" i="7"/>
  <c r="HZ12" i="7"/>
  <c r="ID16" i="7"/>
  <c r="IH11" i="7"/>
  <c r="IH17" i="7"/>
  <c r="IH10" i="7"/>
  <c r="IQ15" i="7"/>
  <c r="IY11" i="7"/>
  <c r="HT14" i="7"/>
  <c r="HT10" i="7"/>
  <c r="HX11" i="7"/>
  <c r="HX15" i="7"/>
  <c r="HX13" i="7"/>
  <c r="IB12" i="7"/>
  <c r="IB15" i="7"/>
  <c r="IB10" i="7"/>
  <c r="IB11" i="7"/>
  <c r="IF14" i="7"/>
  <c r="IK17" i="7"/>
  <c r="IK12" i="7"/>
  <c r="IO15" i="7"/>
  <c r="IS17" i="7"/>
  <c r="IS15" i="7"/>
  <c r="IS14" i="7"/>
  <c r="IW17" i="7"/>
  <c r="IW15" i="7"/>
  <c r="IW13" i="7"/>
  <c r="HU11" i="7"/>
  <c r="HU10" i="7"/>
  <c r="HU16" i="7"/>
  <c r="HY14" i="7"/>
  <c r="HY16" i="7"/>
  <c r="HY11" i="7"/>
  <c r="IC17" i="7"/>
  <c r="IC16" i="7"/>
  <c r="IG15" i="7"/>
  <c r="IL17" i="7"/>
  <c r="IL15" i="7"/>
  <c r="IL13" i="7"/>
  <c r="IP12" i="7"/>
  <c r="IP17" i="7"/>
  <c r="IP14" i="7"/>
  <c r="IP10" i="7"/>
  <c r="IT15" i="7"/>
  <c r="IX15" i="7"/>
  <c r="F29" i="2"/>
  <c r="F24" i="2" s="1"/>
  <c r="F28" i="2"/>
  <c r="F23" i="2" s="1"/>
  <c r="IE18" i="7" l="1"/>
  <c r="IM18" i="7"/>
  <c r="HY18" i="7"/>
  <c r="IR18" i="7"/>
  <c r="ID18" i="7"/>
  <c r="IX18" i="7"/>
  <c r="IP19" i="7"/>
  <c r="IR19" i="7"/>
  <c r="IP15" i="7"/>
  <c r="IN18" i="7"/>
  <c r="IH18" i="7"/>
  <c r="IN19" i="7"/>
  <c r="IG18" i="7"/>
  <c r="IZ18" i="7"/>
  <c r="II19" i="7"/>
  <c r="IU19" i="7"/>
  <c r="IG19" i="7"/>
  <c r="IU18" i="7"/>
  <c r="IQ18" i="7"/>
  <c r="IT18" i="7"/>
  <c r="IV18" i="7"/>
  <c r="IM19" i="7"/>
  <c r="IE19" i="7"/>
  <c r="HW19" i="7"/>
  <c r="HV18" i="7"/>
  <c r="HY19" i="7"/>
  <c r="IF19" i="7"/>
  <c r="HX19" i="7"/>
  <c r="HW18" i="7"/>
  <c r="IA19" i="7"/>
  <c r="IH19" i="7"/>
  <c r="HU19" i="7"/>
  <c r="IB19" i="7"/>
  <c r="HT19" i="7"/>
  <c r="HZ18" i="7"/>
  <c r="IC18" i="7"/>
  <c r="IA18" i="7"/>
  <c r="ID19" i="7"/>
  <c r="HV19" i="7"/>
  <c r="HZ19" i="7"/>
  <c r="IC19" i="7"/>
  <c r="IU16" i="7"/>
  <c r="HV15" i="7"/>
  <c r="IK13" i="7"/>
  <c r="IY12" i="7"/>
  <c r="IQ16" i="7"/>
  <c r="HZ10" i="7"/>
  <c r="HZ14" i="7"/>
  <c r="IT14" i="7"/>
  <c r="IT17" i="7"/>
  <c r="IP11" i="7"/>
  <c r="IT13" i="7"/>
  <c r="IL10" i="7"/>
  <c r="IL16" i="7"/>
  <c r="HU17" i="7"/>
  <c r="HY17" i="7"/>
  <c r="IW16" i="7"/>
  <c r="IO14" i="7"/>
  <c r="IB17" i="7"/>
  <c r="HX12" i="7"/>
  <c r="IX17" i="7"/>
  <c r="IL12" i="7"/>
  <c r="IP13" i="7"/>
  <c r="IC15" i="7"/>
  <c r="IG14" i="7"/>
  <c r="IG17" i="7"/>
  <c r="HU15" i="7"/>
  <c r="HU12" i="7"/>
  <c r="IS13" i="7"/>
  <c r="IO13" i="7"/>
  <c r="IK14" i="7"/>
  <c r="HT12" i="7"/>
  <c r="HT15" i="7"/>
  <c r="IF15" i="7"/>
  <c r="HT13" i="7"/>
  <c r="IS10" i="7"/>
  <c r="HX10" i="7"/>
  <c r="IF13" i="7"/>
  <c r="IF17" i="7"/>
  <c r="IY15" i="7"/>
  <c r="IL11" i="7"/>
  <c r="IX13" i="7"/>
  <c r="HU14" i="7"/>
  <c r="HY12" i="7"/>
  <c r="HY10" i="7"/>
  <c r="IO10" i="7"/>
  <c r="IO11" i="7"/>
  <c r="IS11" i="7"/>
  <c r="IS16" i="7"/>
  <c r="HX14" i="7"/>
  <c r="HX16" i="7"/>
  <c r="HT11" i="7"/>
  <c r="II14" i="7"/>
  <c r="IA14" i="7"/>
  <c r="HW13" i="7"/>
  <c r="IU15" i="7"/>
  <c r="IY14" i="7"/>
  <c r="IQ10" i="7"/>
  <c r="IM12" i="7"/>
  <c r="IQ11" i="7"/>
  <c r="IL14" i="7"/>
  <c r="IH13" i="7"/>
  <c r="IZ15" i="7"/>
  <c r="HW11" i="7"/>
  <c r="IE17" i="7"/>
  <c r="IQ14" i="7"/>
  <c r="IQ17" i="7"/>
  <c r="ID14" i="7"/>
  <c r="HV13" i="7"/>
  <c r="HV17" i="7"/>
  <c r="HZ17" i="7"/>
  <c r="HZ15" i="7"/>
  <c r="IH16" i="7"/>
  <c r="ID15" i="7"/>
  <c r="IN15" i="7"/>
  <c r="II15" i="7"/>
  <c r="IE15" i="7"/>
  <c r="IA17" i="7"/>
  <c r="IN13" i="7"/>
  <c r="IM16" i="7"/>
  <c r="IT16" i="7"/>
  <c r="IO16" i="7"/>
  <c r="IF16" i="7"/>
  <c r="IX16" i="7"/>
  <c r="IP16" i="7"/>
  <c r="IK16" i="7"/>
  <c r="IZ16" i="7"/>
  <c r="IR13" i="7"/>
  <c r="IV15" i="7"/>
  <c r="IZ14" i="7"/>
  <c r="II12" i="7"/>
  <c r="IA11" i="7"/>
  <c r="IV17" i="7"/>
  <c r="IN16" i="7"/>
  <c r="IV16" i="7"/>
  <c r="IR14" i="7"/>
  <c r="IN17" i="7"/>
  <c r="IZ11" i="7"/>
  <c r="IR12" i="7"/>
  <c r="IR17" i="7"/>
  <c r="IR16" i="7"/>
  <c r="IA13" i="7"/>
  <c r="IA15" i="7"/>
  <c r="HW12" i="7"/>
  <c r="HW16" i="7"/>
  <c r="II16" i="7"/>
  <c r="II11" i="7"/>
  <c r="IE13" i="7"/>
  <c r="HW14" i="7"/>
  <c r="II13" i="7"/>
  <c r="II17" i="7"/>
  <c r="IE16" i="7"/>
  <c r="IA12" i="7"/>
  <c r="IA16" i="7"/>
  <c r="HW17" i="7"/>
  <c r="HW15" i="7"/>
  <c r="IQ12" i="7"/>
  <c r="IQ13" i="7"/>
  <c r="IU17" i="7"/>
  <c r="IM15" i="7"/>
  <c r="IM10" i="7"/>
  <c r="IM14" i="7"/>
  <c r="IU14" i="7"/>
  <c r="IU13" i="7"/>
  <c r="IM13" i="7"/>
  <c r="IM17" i="7"/>
  <c r="ID13" i="7"/>
  <c r="HV16" i="7"/>
  <c r="HZ16" i="7"/>
  <c r="HZ11" i="7"/>
  <c r="IH12" i="7"/>
  <c r="ID17" i="7"/>
  <c r="HV10" i="7"/>
  <c r="HV14" i="7"/>
  <c r="IG16" i="7"/>
  <c r="IC14" i="7"/>
  <c r="IG13" i="7"/>
  <c r="IC13" i="7"/>
  <c r="IW14" i="7"/>
  <c r="IK10" i="7"/>
  <c r="IK15" i="7"/>
  <c r="IB13" i="7"/>
  <c r="IB14" i="7"/>
  <c r="IB16" i="7"/>
  <c r="IY10" i="7"/>
  <c r="IM11" i="7"/>
  <c r="IR15" i="7"/>
  <c r="IZ13" i="7"/>
  <c r="IN12" i="7"/>
  <c r="IA10" i="7"/>
  <c r="II10" i="7"/>
  <c r="IZ17" i="7"/>
  <c r="IV13" i="7"/>
  <c r="IR11" i="7"/>
  <c r="IN14" i="7"/>
  <c r="IZ12" i="7"/>
  <c r="IV14" i="7"/>
  <c r="IR10" i="7"/>
  <c r="IN11" i="7"/>
  <c r="IN10" i="7"/>
  <c r="IZ10" i="7"/>
  <c r="IE14" i="7"/>
  <c r="HW10" i="7"/>
  <c r="IE12" i="7"/>
  <c r="IE11" i="7"/>
  <c r="ID12" i="7"/>
  <c r="IX11" i="7"/>
  <c r="IC11" i="7"/>
  <c r="IT10" i="7"/>
  <c r="IW12" i="7"/>
  <c r="IG12" i="7"/>
  <c r="IF10" i="7"/>
  <c r="IF11" i="7"/>
  <c r="IV10" i="7"/>
  <c r="IE10" i="7"/>
  <c r="IU11" i="7"/>
  <c r="IT12" i="7"/>
  <c r="IG11" i="7"/>
  <c r="IV12" i="7"/>
  <c r="IV11" i="7"/>
  <c r="IU12" i="7"/>
  <c r="ID10" i="7"/>
  <c r="IX10" i="7"/>
  <c r="IC10" i="7"/>
  <c r="IT11" i="7"/>
  <c r="IW10" i="7"/>
  <c r="IG10" i="7"/>
  <c r="IF12" i="7"/>
  <c r="IU10" i="7"/>
  <c r="ID11" i="7"/>
  <c r="IX12" i="7"/>
  <c r="IC12" i="7"/>
  <c r="IW11" i="7"/>
  <c r="G27" i="2"/>
  <c r="F27" i="2"/>
  <c r="G20" i="2"/>
  <c r="G19" i="2"/>
  <c r="G30" i="2" s="1"/>
  <c r="G25" i="2" s="1"/>
  <c r="F19" i="2"/>
  <c r="F30" i="2" s="1"/>
  <c r="F25" i="2" s="1"/>
  <c r="G28" i="2" l="1"/>
  <c r="G23" i="2" s="1"/>
  <c r="G29" i="2"/>
  <c r="G24" i="2" s="1"/>
  <c r="H20" i="2"/>
  <c r="H29" i="2" l="1"/>
  <c r="H24" i="2" s="1"/>
  <c r="H28" i="2"/>
  <c r="H23" i="2" s="1"/>
  <c r="H30" i="2"/>
  <c r="H25" i="2" s="1"/>
  <c r="D9" i="2"/>
  <c r="C9" i="2"/>
</calcChain>
</file>

<file path=xl/sharedStrings.xml><?xml version="1.0" encoding="utf-8"?>
<sst xmlns="http://schemas.openxmlformats.org/spreadsheetml/2006/main" count="346" uniqueCount="96">
  <si>
    <t>Número de periodos a procesar</t>
  </si>
  <si>
    <t>1M</t>
  </si>
  <si>
    <t>2M</t>
  </si>
  <si>
    <t>3M</t>
  </si>
  <si>
    <t>4-6M</t>
  </si>
  <si>
    <t>7M-1A</t>
  </si>
  <si>
    <t>2A</t>
  </si>
  <si>
    <t>3A</t>
  </si>
  <si>
    <t>4A</t>
  </si>
  <si>
    <t>5A</t>
  </si>
  <si>
    <t>11-20A</t>
  </si>
  <si>
    <t>&gt; 20A</t>
  </si>
  <si>
    <t>TT soles</t>
  </si>
  <si>
    <t>TT USD</t>
  </si>
  <si>
    <t>TTs base</t>
  </si>
  <si>
    <t>Gap MN</t>
  </si>
  <si>
    <t>Gap ME</t>
  </si>
  <si>
    <t>FX</t>
  </si>
  <si>
    <t>PE</t>
  </si>
  <si>
    <t>Marca de clase (meses)</t>
  </si>
  <si>
    <t>Marca de clase (años)</t>
  </si>
  <si>
    <t>TTUSD</t>
  </si>
  <si>
    <t>Sigma</t>
  </si>
  <si>
    <t>Kappa</t>
  </si>
  <si>
    <t>Lambda</t>
  </si>
  <si>
    <t>Theta</t>
  </si>
  <si>
    <t>TT PEN</t>
  </si>
  <si>
    <t>6A</t>
  </si>
  <si>
    <t>7A</t>
  </si>
  <si>
    <t>8A</t>
  </si>
  <si>
    <t>9A</t>
  </si>
  <si>
    <t>10A</t>
  </si>
  <si>
    <t>Condicion de Feller</t>
  </si>
  <si>
    <t>CE.MN_(MM.Soles)</t>
  </si>
  <si>
    <t>CE.ME_(MM.USD)</t>
  </si>
  <si>
    <t>CE.Global_(MM.Soles)</t>
  </si>
  <si>
    <t xml:space="preserve">Correlacion de choques </t>
  </si>
  <si>
    <t>30/06/2014 gaps.RDM</t>
  </si>
  <si>
    <t>ME0 30/06/2014 gaps.RDM</t>
  </si>
  <si>
    <t>OW</t>
  </si>
  <si>
    <t>CIR</t>
  </si>
  <si>
    <t>Gap MN Activo</t>
  </si>
  <si>
    <t>Gap MN Pasivo</t>
  </si>
  <si>
    <t>Gap ME Activo</t>
  </si>
  <si>
    <t>Gap ME Pasivo</t>
  </si>
  <si>
    <t>Comprobacion MN</t>
  </si>
  <si>
    <t>Comprobacion ME</t>
  </si>
  <si>
    <t>Disponible</t>
  </si>
  <si>
    <t>Interbancarios Otorgados</t>
  </si>
  <si>
    <t>Inversiones</t>
  </si>
  <si>
    <t>Creditos</t>
  </si>
  <si>
    <t>Obligaciones Pubico</t>
  </si>
  <si>
    <t>Interbancarios Recibidos</t>
  </si>
  <si>
    <t>Depositos Sistema Financ</t>
  </si>
  <si>
    <t>Adeudados</t>
  </si>
  <si>
    <t>Valores en Circulacion</t>
  </si>
  <si>
    <t>Total Deriv.Deudor</t>
  </si>
  <si>
    <t>Total Deriv.Acreedor</t>
  </si>
  <si>
    <t>Total Activos</t>
  </si>
  <si>
    <t>Total Pasivos</t>
  </si>
  <si>
    <t>Comprobacion Activos</t>
  </si>
  <si>
    <t>Comprobacion Pasivos</t>
  </si>
  <si>
    <t>NS</t>
  </si>
  <si>
    <t>31-60d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</si>
  <si>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</si>
  <si>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</si>
  <si>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</si>
  <si>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</si>
  <si>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</si>
  <si>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</si>
  <si>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</si>
  <si>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</si>
  <si>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</si>
  <si>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</si>
  <si>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</si>
  <si>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</si>
  <si>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</si>
  <si>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sListProduct</t>
  </si>
  <si>
    <t>USD2</t>
  </si>
  <si>
    <t>USD3</t>
  </si>
  <si>
    <t>USD4</t>
  </si>
  <si>
    <t>USD5</t>
  </si>
  <si>
    <t>USD6</t>
  </si>
  <si>
    <t>USD7</t>
  </si>
  <si>
    <t>USD8</t>
  </si>
  <si>
    <t>USD9</t>
  </si>
  <si>
    <t>USD10</t>
  </si>
  <si>
    <t>USD11</t>
  </si>
  <si>
    <t>USD12</t>
  </si>
  <si>
    <t>USD13</t>
  </si>
  <si>
    <t>USD14</t>
  </si>
  <si>
    <t>USD1</t>
  </si>
  <si>
    <t>MN1</t>
  </si>
  <si>
    <t>__</t>
  </si>
  <si>
    <t>holi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</si>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</sst>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"/>
    <numFmt numFmtId="167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 Narrow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0" xfId="0" applyFill="1"/>
    <xf numFmtId="0" fontId="0" fillId="3" borderId="0" xfId="0" applyFill="1"/>
    <xf numFmtId="10" fontId="0" fillId="3" borderId="0" xfId="2" applyNumberFormat="1" applyFont="1" applyFill="1"/>
    <xf numFmtId="10" fontId="0" fillId="0" borderId="0" xfId="2" applyNumberFormat="1" applyFont="1"/>
    <xf numFmtId="166" fontId="0" fillId="3" borderId="0" xfId="0" applyNumberFormat="1" applyFill="1"/>
    <xf numFmtId="164" fontId="0" fillId="4" borderId="0" xfId="2" applyNumberFormat="1" applyFont="1" applyFill="1"/>
    <xf numFmtId="10" fontId="0" fillId="0" borderId="0" xfId="2" applyNumberFormat="1" applyFont="1" applyFill="1"/>
    <xf numFmtId="165" fontId="0" fillId="0" borderId="0" xfId="1" applyNumberFormat="1" applyFont="1"/>
    <xf numFmtId="43" fontId="0" fillId="0" borderId="0" xfId="1" applyFont="1"/>
    <xf numFmtId="165" fontId="2" fillId="3" borderId="0" xfId="1" applyNumberFormat="1" applyFont="1" applyFill="1"/>
    <xf numFmtId="10" fontId="1" fillId="3" borderId="0" xfId="2" applyNumberFormat="1" applyFont="1" applyFill="1"/>
    <xf numFmtId="164" fontId="0" fillId="0" borderId="0" xfId="2" applyNumberFormat="1" applyFont="1"/>
    <xf numFmtId="0" fontId="3" fillId="5" borderId="0" xfId="0" applyFont="1" applyFill="1"/>
    <xf numFmtId="0" fontId="0" fillId="0" borderId="0" xfId="0" applyAlignment="1">
      <alignment horizontal="center" vertical="center"/>
    </xf>
    <xf numFmtId="167" fontId="0" fillId="3" borderId="0" xfId="0" applyNumberFormat="1" applyFont="1" applyFill="1"/>
    <xf numFmtId="165" fontId="0" fillId="0" borderId="0" xfId="0" applyNumberFormat="1"/>
    <xf numFmtId="10" fontId="0" fillId="0" borderId="0" xfId="0" applyNumberFormat="1"/>
    <xf numFmtId="165" fontId="0" fillId="0" borderId="0" xfId="0" applyNumberFormat="1" applyFill="1"/>
    <xf numFmtId="0" fontId="4" fillId="0" borderId="0" xfId="0" applyFont="1"/>
    <xf numFmtId="167" fontId="0" fillId="0" borderId="0" xfId="1" applyNumberFormat="1" applyFont="1"/>
    <xf numFmtId="14" fontId="0" fillId="3" borderId="0" xfId="0" applyNumberFormat="1" applyFill="1"/>
    <xf numFmtId="14" fontId="0" fillId="0" borderId="0" xfId="0" applyNumberFormat="1" applyFill="1"/>
    <xf numFmtId="167" fontId="0" fillId="0" borderId="0" xfId="0" applyNumberFormat="1" applyFont="1" applyFill="1"/>
    <xf numFmtId="165" fontId="2" fillId="0" borderId="0" xfId="1" applyNumberFormat="1" applyFont="1" applyFill="1"/>
    <xf numFmtId="165" fontId="0" fillId="0" borderId="0" xfId="1" applyNumberFormat="1" applyFont="1" applyFill="1"/>
    <xf numFmtId="0" fontId="4" fillId="0" borderId="0" xfId="0" applyFont="1" applyFill="1"/>
    <xf numFmtId="0" fontId="2" fillId="0" borderId="0" xfId="0" applyFont="1" applyFill="1"/>
    <xf numFmtId="167" fontId="0" fillId="0" borderId="0" xfId="0" applyNumberFormat="1"/>
    <xf numFmtId="165" fontId="0" fillId="3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</xdr:row>
          <xdr:rowOff>133350</xdr:rowOff>
        </xdr:from>
        <xdr:to>
          <xdr:col>6</xdr:col>
          <xdr:colOff>228600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</xdr:row>
          <xdr:rowOff>0</xdr:rowOff>
        </xdr:from>
        <xdr:to>
          <xdr:col>6</xdr:col>
          <xdr:colOff>466725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B3:H30"/>
  <sheetViews>
    <sheetView zoomScale="115" zoomScaleNormal="115" workbookViewId="0">
      <selection activeCell="B33" sqref="B33"/>
    </sheetView>
  </sheetViews>
  <sheetFormatPr defaultColWidth="9.140625" defaultRowHeight="15" x14ac:dyDescent="0.25"/>
  <cols>
    <col min="2" max="2" width="18.28515625" bestFit="1" customWidth="1"/>
    <col min="3" max="3" width="11.85546875" bestFit="1" customWidth="1"/>
    <col min="4" max="4" width="22.28515625" customWidth="1"/>
    <col min="5" max="5" width="23.28515625" customWidth="1"/>
    <col min="6" max="6" width="10.7109375" hidden="1" customWidth="1"/>
    <col min="7" max="7" width="15.5703125" customWidth="1"/>
    <col min="8" max="8" width="10.7109375" bestFit="1" customWidth="1"/>
  </cols>
  <sheetData>
    <row r="3" spans="2:8" x14ac:dyDescent="0.25">
      <c r="C3" t="s">
        <v>26</v>
      </c>
      <c r="D3" t="s">
        <v>21</v>
      </c>
    </row>
    <row r="4" spans="2:8" x14ac:dyDescent="0.25">
      <c r="B4" t="s">
        <v>22</v>
      </c>
      <c r="C4" s="4">
        <v>7.0903599999999997E-2</v>
      </c>
      <c r="D4" s="4">
        <v>0.122388</v>
      </c>
    </row>
    <row r="5" spans="2:8" x14ac:dyDescent="0.25">
      <c r="B5" t="s">
        <v>23</v>
      </c>
      <c r="C5" s="7">
        <v>5.5432700000000001E-2</v>
      </c>
      <c r="D5" s="7">
        <v>0.43504900000000002</v>
      </c>
    </row>
    <row r="6" spans="2:8" x14ac:dyDescent="0.25">
      <c r="B6" t="s">
        <v>24</v>
      </c>
      <c r="C6" s="4">
        <v>-8.0115900000000004E-2</v>
      </c>
      <c r="D6" s="4">
        <v>-0.35292000000000001</v>
      </c>
    </row>
    <row r="7" spans="2:8" x14ac:dyDescent="0.25">
      <c r="B7" t="s">
        <v>25</v>
      </c>
      <c r="C7" s="5">
        <v>5.9518000000000001E-2</v>
      </c>
      <c r="D7" s="5">
        <v>2.2286199999999999E-2</v>
      </c>
    </row>
    <row r="9" spans="2:8" x14ac:dyDescent="0.25">
      <c r="B9" t="s">
        <v>32</v>
      </c>
      <c r="C9" s="8" t="b">
        <f>2*C7*C5-C4^2&gt;0</f>
        <v>1</v>
      </c>
      <c r="D9" s="8" t="b">
        <f>2*D7*D5-D4^2&gt;0</f>
        <v>1</v>
      </c>
    </row>
    <row r="11" spans="2:8" x14ac:dyDescent="0.25">
      <c r="B11" t="s">
        <v>36</v>
      </c>
      <c r="C11">
        <v>9.4059199999999996E-2</v>
      </c>
    </row>
    <row r="13" spans="2:8" x14ac:dyDescent="0.25">
      <c r="H13">
        <v>0.23400000000000001</v>
      </c>
    </row>
    <row r="15" spans="2:8" x14ac:dyDescent="0.25">
      <c r="F15" t="s">
        <v>37</v>
      </c>
      <c r="G15" t="s">
        <v>38</v>
      </c>
    </row>
    <row r="16" spans="2:8" x14ac:dyDescent="0.25">
      <c r="E16" t="s">
        <v>33</v>
      </c>
      <c r="F16" s="10">
        <v>-1328.29</v>
      </c>
      <c r="G16" s="10">
        <v>-1328.29</v>
      </c>
      <c r="H16" s="10">
        <v>-1101</v>
      </c>
    </row>
    <row r="17" spans="5:8" x14ac:dyDescent="0.25">
      <c r="E17" t="s">
        <v>34</v>
      </c>
      <c r="F17" s="10">
        <v>-106.21299999999999</v>
      </c>
      <c r="G17" s="10">
        <v>0</v>
      </c>
      <c r="H17" s="10">
        <v>0</v>
      </c>
    </row>
    <row r="18" spans="5:8" x14ac:dyDescent="0.25">
      <c r="E18" t="s">
        <v>35</v>
      </c>
      <c r="F18" s="10">
        <v>-1089.82</v>
      </c>
      <c r="G18" s="10">
        <v>-1003.51</v>
      </c>
      <c r="H18" s="10"/>
    </row>
    <row r="19" spans="5:8" x14ac:dyDescent="0.25">
      <c r="F19" s="10">
        <f>+F18/(1-$H13)</f>
        <v>-1422.7415143603132</v>
      </c>
      <c r="G19" s="10">
        <f>+G18/(1-$H13)</f>
        <v>-1310.0652741514359</v>
      </c>
      <c r="H19" s="10">
        <v>-1101</v>
      </c>
    </row>
    <row r="20" spans="5:8" x14ac:dyDescent="0.25">
      <c r="E20" t="s">
        <v>18</v>
      </c>
      <c r="F20" s="10">
        <v>11396.2</v>
      </c>
      <c r="G20" s="10">
        <f>+F20</f>
        <v>11396.2</v>
      </c>
      <c r="H20" s="10">
        <f>+G20</f>
        <v>11396.2</v>
      </c>
    </row>
    <row r="22" spans="5:8" x14ac:dyDescent="0.25">
      <c r="E22" s="15"/>
      <c r="F22" s="15" t="s">
        <v>40</v>
      </c>
      <c r="G22" s="15" t="s">
        <v>40</v>
      </c>
      <c r="H22" s="15" t="s">
        <v>39</v>
      </c>
    </row>
    <row r="23" spans="5:8" x14ac:dyDescent="0.25">
      <c r="E23" t="s">
        <v>33</v>
      </c>
      <c r="F23" s="10">
        <f>+F28*F$20</f>
        <v>-1017.47014</v>
      </c>
      <c r="G23" s="10">
        <f t="shared" ref="G23:H23" si="0">+G28*G$20</f>
        <v>-1017.47014</v>
      </c>
      <c r="H23" s="10">
        <f t="shared" si="0"/>
        <v>-843.36599999999999</v>
      </c>
    </row>
    <row r="24" spans="5:8" x14ac:dyDescent="0.25">
      <c r="E24" t="s">
        <v>34</v>
      </c>
      <c r="F24" s="10">
        <f t="shared" ref="F24:H24" si="1">+F29*F$20</f>
        <v>-81.359157999999994</v>
      </c>
      <c r="G24" s="10">
        <f t="shared" si="1"/>
        <v>0</v>
      </c>
      <c r="H24" s="10">
        <f t="shared" si="1"/>
        <v>0</v>
      </c>
    </row>
    <row r="25" spans="5:8" x14ac:dyDescent="0.25">
      <c r="E25" t="s">
        <v>35</v>
      </c>
      <c r="F25" s="10">
        <f>+F30*F$20</f>
        <v>-1089.82</v>
      </c>
      <c r="G25" s="10">
        <f t="shared" ref="G25:H25" si="2">+G30*G$20</f>
        <v>-1003.5099999999999</v>
      </c>
      <c r="H25" s="10">
        <f t="shared" si="2"/>
        <v>-843.36599999999999</v>
      </c>
    </row>
    <row r="27" spans="5:8" x14ac:dyDescent="0.25">
      <c r="F27" t="str">
        <f>+F15</f>
        <v>30/06/2014 gaps.RDM</v>
      </c>
      <c r="G27" t="str">
        <f>+G15</f>
        <v>ME0 30/06/2014 gaps.RDM</v>
      </c>
      <c r="H27" s="16" t="s">
        <v>39</v>
      </c>
    </row>
    <row r="28" spans="5:8" x14ac:dyDescent="0.25">
      <c r="E28" t="s">
        <v>33</v>
      </c>
      <c r="F28" s="14">
        <f>+F16/F$20*(1-$H$13)</f>
        <v>-8.9281527175725239E-2</v>
      </c>
      <c r="G28" s="14">
        <f>+G16/G$20*(1-$H$13)</f>
        <v>-8.9281527175725239E-2</v>
      </c>
      <c r="H28" s="14">
        <f>+H16/H$20*(1-$H$13)</f>
        <v>-7.4004141731454337E-2</v>
      </c>
    </row>
    <row r="29" spans="5:8" x14ac:dyDescent="0.25">
      <c r="E29" t="s">
        <v>34</v>
      </c>
      <c r="F29" s="14">
        <f>+F17/F$20*(1-$H$13)</f>
        <v>-7.1391479616012346E-3</v>
      </c>
      <c r="G29" s="14">
        <f t="shared" ref="G29:H29" si="3">+G17/G$20*(1-$H$13)</f>
        <v>0</v>
      </c>
      <c r="H29" s="14">
        <f t="shared" si="3"/>
        <v>0</v>
      </c>
    </row>
    <row r="30" spans="5:8" x14ac:dyDescent="0.25">
      <c r="E30" t="s">
        <v>35</v>
      </c>
      <c r="F30" s="14">
        <f>+F19/F$20*(1-$H$13)</f>
        <v>-9.5630122321475566E-2</v>
      </c>
      <c r="G30" s="14">
        <f t="shared" ref="G30:H30" si="4">+G19/G$20*(1-$H$13)</f>
        <v>-8.8056545164177519E-2</v>
      </c>
      <c r="H30" s="14">
        <f t="shared" si="4"/>
        <v>-7.4004141731454337E-2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2:FT39"/>
  <sheetViews>
    <sheetView tabSelected="1" zoomScale="85" zoomScaleNormal="85" workbookViewId="0">
      <pane xSplit="2" ySplit="9" topLeftCell="AN10" activePane="bottomRight" state="frozen"/>
      <selection activeCell="I30" sqref="I30"/>
      <selection pane="topRight" activeCell="I30" sqref="I30"/>
      <selection pane="bottomLeft" activeCell="I30" sqref="I30"/>
      <selection pane="bottomRight" activeCell="W18" sqref="W18:AL21"/>
    </sheetView>
  </sheetViews>
  <sheetFormatPr defaultColWidth="9.140625" defaultRowHeight="15" x14ac:dyDescent="0.25"/>
  <cols>
    <col min="1" max="1" width="3.2851562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40" max="40" width="9.42578125" bestFit="1" customWidth="1"/>
    <col min="41" max="43" width="11.85546875" bestFit="1" customWidth="1"/>
    <col min="44" max="44" width="7.140625" bestFit="1" customWidth="1"/>
    <col min="45" max="53" width="11.85546875" bestFit="1" customWidth="1"/>
    <col min="54" max="54" width="7.140625" bestFit="1" customWidth="1"/>
    <col min="55" max="55" width="11.85546875" bestFit="1" customWidth="1"/>
    <col min="60" max="60" width="11.5703125" bestFit="1" customWidth="1"/>
    <col min="74" max="74" width="10.42578125" customWidth="1"/>
    <col min="75" max="96" width="9.140625" customWidth="1"/>
    <col min="97" max="97" width="9.7109375" bestFit="1" customWidth="1"/>
    <col min="98" max="98" width="9.85546875" bestFit="1" customWidth="1"/>
    <col min="99" max="99" width="9.7109375" bestFit="1" customWidth="1"/>
    <col min="100" max="100" width="9.5703125" bestFit="1" customWidth="1"/>
    <col min="101" max="101" width="9.85546875" bestFit="1" customWidth="1"/>
    <col min="102" max="102" width="10.5703125" bestFit="1" customWidth="1"/>
    <col min="103" max="103" width="9.85546875" bestFit="1" customWidth="1"/>
    <col min="104" max="104" width="9.7109375" bestFit="1" customWidth="1"/>
    <col min="105" max="105" width="10.5703125" bestFit="1" customWidth="1"/>
    <col min="106" max="109" width="9.5703125" bestFit="1" customWidth="1"/>
    <col min="110" max="111" width="10.42578125" bestFit="1" customWidth="1"/>
    <col min="112" max="120" width="9.5703125" bestFit="1" customWidth="1"/>
    <col min="121" max="123" width="9.28515625" bestFit="1" customWidth="1"/>
    <col min="125" max="136" width="9.5703125" bestFit="1" customWidth="1"/>
    <col min="137" max="140" width="9.28515625" bestFit="1" customWidth="1"/>
    <col min="142" max="150" width="12" bestFit="1" customWidth="1"/>
    <col min="151" max="151" width="11.85546875" customWidth="1"/>
    <col min="152" max="157" width="11.85546875" bestFit="1" customWidth="1"/>
    <col min="159" max="174" width="11.28515625" bestFit="1" customWidth="1"/>
    <col min="176" max="176" width="11.28515625" bestFit="1" customWidth="1"/>
  </cols>
  <sheetData>
    <row r="2" spans="1:176" x14ac:dyDescent="0.25">
      <c r="C2" t="s">
        <v>0</v>
      </c>
      <c r="D2" s="31">
        <v>24</v>
      </c>
      <c r="AR2">
        <v>8</v>
      </c>
      <c r="AS2">
        <v>9</v>
      </c>
      <c r="AT2">
        <v>10</v>
      </c>
      <c r="AU2">
        <v>11</v>
      </c>
    </row>
    <row r="3" spans="1:176" x14ac:dyDescent="0.25">
      <c r="F3" t="s">
        <v>93</v>
      </c>
      <c r="AR3">
        <v>4.8616704545454546E-2</v>
      </c>
      <c r="AS3">
        <v>4.8730340909090904E-2</v>
      </c>
      <c r="AT3">
        <v>4.8957613636363639E-2</v>
      </c>
      <c r="AU3">
        <v>4.941215909090909E-2</v>
      </c>
    </row>
    <row r="4" spans="1:176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1:176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v>240</v>
      </c>
      <c r="AF5" t="s">
        <v>14</v>
      </c>
    </row>
    <row r="6" spans="1:176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  <c r="AN6">
        <v>4</v>
      </c>
      <c r="AO6">
        <v>5</v>
      </c>
      <c r="AP6">
        <v>6</v>
      </c>
      <c r="AQ6">
        <v>7</v>
      </c>
      <c r="AR6">
        <v>11</v>
      </c>
      <c r="AS6">
        <v>12</v>
      </c>
      <c r="AT6">
        <v>13</v>
      </c>
      <c r="AU6">
        <v>14</v>
      </c>
      <c r="AV6">
        <v>15</v>
      </c>
      <c r="AW6">
        <v>16</v>
      </c>
      <c r="AX6">
        <v>17</v>
      </c>
      <c r="AY6">
        <v>18</v>
      </c>
      <c r="AZ6">
        <v>19</v>
      </c>
      <c r="BA6">
        <v>20</v>
      </c>
      <c r="BB6">
        <v>25</v>
      </c>
      <c r="BC6">
        <v>26</v>
      </c>
      <c r="BE6">
        <v>30</v>
      </c>
      <c r="BF6">
        <v>31</v>
      </c>
      <c r="BG6">
        <v>32</v>
      </c>
      <c r="BH6">
        <v>33</v>
      </c>
      <c r="BI6">
        <v>37</v>
      </c>
      <c r="BJ6">
        <v>38</v>
      </c>
      <c r="BK6">
        <v>39</v>
      </c>
      <c r="BL6">
        <v>40</v>
      </c>
      <c r="BM6">
        <v>41</v>
      </c>
      <c r="BN6">
        <v>42</v>
      </c>
      <c r="BO6">
        <v>43</v>
      </c>
      <c r="BP6">
        <v>44</v>
      </c>
      <c r="BQ6">
        <v>45</v>
      </c>
      <c r="BR6">
        <v>46</v>
      </c>
      <c r="BS6">
        <v>51</v>
      </c>
      <c r="BT6">
        <v>52</v>
      </c>
    </row>
    <row r="7" spans="1:176" x14ac:dyDescent="0.25">
      <c r="AN7" t="s">
        <v>63</v>
      </c>
    </row>
    <row r="8" spans="1:176" x14ac:dyDescent="0.25">
      <c r="B8" s="3"/>
      <c r="C8" s="3"/>
      <c r="D8" s="3"/>
      <c r="E8" s="3"/>
      <c r="F8" s="3" t="s">
        <v>15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16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12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E8" s="3" t="s">
        <v>13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V8" s="3" t="s">
        <v>41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42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D8" s="3" t="s">
        <v>43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44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L8" t="s">
        <v>45</v>
      </c>
      <c r="FC8" t="s">
        <v>46</v>
      </c>
    </row>
    <row r="9" spans="1:176" x14ac:dyDescent="0.25">
      <c r="B9" s="3"/>
      <c r="C9" s="3" t="s">
        <v>17</v>
      </c>
      <c r="D9" s="3" t="s">
        <v>18</v>
      </c>
      <c r="E9" s="3"/>
      <c r="F9" s="3" t="s">
        <v>1</v>
      </c>
      <c r="G9" s="3" t="s">
        <v>2</v>
      </c>
      <c r="H9" s="3" t="s">
        <v>3</v>
      </c>
      <c r="I9" s="3" t="s">
        <v>4</v>
      </c>
      <c r="J9" s="3" t="s">
        <v>5</v>
      </c>
      <c r="K9" s="3" t="s">
        <v>6</v>
      </c>
      <c r="L9" s="3" t="s">
        <v>7</v>
      </c>
      <c r="M9" s="3" t="s">
        <v>8</v>
      </c>
      <c r="N9" s="3" t="s">
        <v>9</v>
      </c>
      <c r="O9" s="3" t="s">
        <v>27</v>
      </c>
      <c r="P9" s="3" t="s">
        <v>28</v>
      </c>
      <c r="Q9" s="3" t="s">
        <v>29</v>
      </c>
      <c r="R9" s="3" t="s">
        <v>30</v>
      </c>
      <c r="S9" s="3" t="s">
        <v>31</v>
      </c>
      <c r="T9" s="3" t="s">
        <v>10</v>
      </c>
      <c r="U9" s="3" t="s">
        <v>11</v>
      </c>
      <c r="V9" s="3"/>
      <c r="W9" s="3" t="s">
        <v>1</v>
      </c>
      <c r="X9" s="3" t="s">
        <v>2</v>
      </c>
      <c r="Y9" s="3" t="s">
        <v>3</v>
      </c>
      <c r="Z9" s="3" t="s">
        <v>4</v>
      </c>
      <c r="AA9" s="3" t="s">
        <v>5</v>
      </c>
      <c r="AB9" s="3" t="s">
        <v>6</v>
      </c>
      <c r="AC9" s="3" t="s">
        <v>7</v>
      </c>
      <c r="AD9" s="3" t="s">
        <v>8</v>
      </c>
      <c r="AE9" s="3" t="s">
        <v>9</v>
      </c>
      <c r="AF9" s="3" t="s">
        <v>27</v>
      </c>
      <c r="AG9" s="3" t="s">
        <v>28</v>
      </c>
      <c r="AH9" s="3" t="s">
        <v>29</v>
      </c>
      <c r="AI9" s="3" t="s">
        <v>30</v>
      </c>
      <c r="AJ9" s="3" t="s">
        <v>31</v>
      </c>
      <c r="AK9" s="3" t="s">
        <v>10</v>
      </c>
      <c r="AL9" s="3" t="s">
        <v>11</v>
      </c>
      <c r="AM9" s="3"/>
      <c r="AN9" s="3" t="s">
        <v>1</v>
      </c>
      <c r="AO9" s="3" t="s">
        <v>2</v>
      </c>
      <c r="AP9" s="3" t="s">
        <v>3</v>
      </c>
      <c r="AQ9" s="3" t="s">
        <v>4</v>
      </c>
      <c r="AR9" s="29" t="s">
        <v>5</v>
      </c>
      <c r="AS9" s="3" t="s">
        <v>6</v>
      </c>
      <c r="AT9" s="3" t="s">
        <v>7</v>
      </c>
      <c r="AU9" s="3" t="s">
        <v>8</v>
      </c>
      <c r="AV9" s="3" t="s">
        <v>9</v>
      </c>
      <c r="AW9" s="3" t="s">
        <v>27</v>
      </c>
      <c r="AX9" s="3" t="s">
        <v>28</v>
      </c>
      <c r="AY9" s="3" t="s">
        <v>29</v>
      </c>
      <c r="AZ9" s="3" t="s">
        <v>30</v>
      </c>
      <c r="BA9" s="3" t="s">
        <v>31</v>
      </c>
      <c r="BB9" s="29" t="s">
        <v>10</v>
      </c>
      <c r="BC9" s="3" t="s">
        <v>11</v>
      </c>
      <c r="BE9" s="3" t="s">
        <v>1</v>
      </c>
      <c r="BF9" s="3" t="s">
        <v>2</v>
      </c>
      <c r="BG9" s="3" t="s">
        <v>3</v>
      </c>
      <c r="BH9" s="3" t="s">
        <v>4</v>
      </c>
      <c r="BI9" s="3" t="s">
        <v>5</v>
      </c>
      <c r="BJ9" s="3" t="s">
        <v>6</v>
      </c>
      <c r="BK9" s="3" t="s">
        <v>7</v>
      </c>
      <c r="BL9" s="3" t="s">
        <v>8</v>
      </c>
      <c r="BM9" s="3" t="s">
        <v>9</v>
      </c>
      <c r="BN9" s="3" t="s">
        <v>27</v>
      </c>
      <c r="BO9" s="3" t="s">
        <v>28</v>
      </c>
      <c r="BP9" s="3" t="s">
        <v>29</v>
      </c>
      <c r="BQ9" s="3" t="s">
        <v>30</v>
      </c>
      <c r="BR9" s="3" t="s">
        <v>31</v>
      </c>
      <c r="BS9" s="3" t="s">
        <v>10</v>
      </c>
      <c r="BT9" s="3" t="s">
        <v>11</v>
      </c>
      <c r="BV9" s="3" t="s">
        <v>1</v>
      </c>
      <c r="BW9" s="3" t="s">
        <v>2</v>
      </c>
      <c r="BX9" s="3" t="s">
        <v>3</v>
      </c>
      <c r="BY9" s="3" t="s">
        <v>4</v>
      </c>
      <c r="BZ9" s="3" t="s">
        <v>5</v>
      </c>
      <c r="CA9" s="3" t="s">
        <v>6</v>
      </c>
      <c r="CB9" s="3" t="s">
        <v>7</v>
      </c>
      <c r="CC9" s="3" t="s">
        <v>8</v>
      </c>
      <c r="CD9" s="3" t="s">
        <v>9</v>
      </c>
      <c r="CE9" s="3" t="s">
        <v>27</v>
      </c>
      <c r="CF9" s="3" t="s">
        <v>28</v>
      </c>
      <c r="CG9" s="3" t="s">
        <v>29</v>
      </c>
      <c r="CH9" s="3" t="s">
        <v>30</v>
      </c>
      <c r="CI9" s="3" t="s">
        <v>31</v>
      </c>
      <c r="CJ9" s="3" t="s">
        <v>10</v>
      </c>
      <c r="CK9" s="3" t="s">
        <v>11</v>
      </c>
      <c r="CL9" s="3"/>
      <c r="CM9" s="3" t="s">
        <v>1</v>
      </c>
      <c r="CN9" s="3" t="s">
        <v>2</v>
      </c>
      <c r="CO9" s="3" t="s">
        <v>3</v>
      </c>
      <c r="CP9" s="3" t="s">
        <v>4</v>
      </c>
      <c r="CQ9" s="3" t="s">
        <v>5</v>
      </c>
      <c r="CR9" s="3" t="s">
        <v>6</v>
      </c>
      <c r="CS9" s="3" t="s">
        <v>7</v>
      </c>
      <c r="CT9" s="3" t="s">
        <v>8</v>
      </c>
      <c r="CU9" s="3" t="s">
        <v>9</v>
      </c>
      <c r="CV9" s="3" t="s">
        <v>27</v>
      </c>
      <c r="CW9" s="3" t="s">
        <v>28</v>
      </c>
      <c r="CX9" s="3" t="s">
        <v>29</v>
      </c>
      <c r="CY9" s="3" t="s">
        <v>30</v>
      </c>
      <c r="CZ9" s="3" t="s">
        <v>31</v>
      </c>
      <c r="DA9" s="3" t="s">
        <v>10</v>
      </c>
      <c r="DB9" s="3" t="s">
        <v>11</v>
      </c>
      <c r="DD9" s="3" t="s">
        <v>1</v>
      </c>
      <c r="DE9" s="3" t="s">
        <v>2</v>
      </c>
      <c r="DF9" s="3" t="s">
        <v>3</v>
      </c>
      <c r="DG9" s="3" t="s">
        <v>4</v>
      </c>
      <c r="DH9" s="3" t="s">
        <v>5</v>
      </c>
      <c r="DI9" s="3" t="s">
        <v>6</v>
      </c>
      <c r="DJ9" s="3" t="s">
        <v>7</v>
      </c>
      <c r="DK9" s="3" t="s">
        <v>8</v>
      </c>
      <c r="DL9" s="3" t="s">
        <v>9</v>
      </c>
      <c r="DM9" s="3" t="s">
        <v>27</v>
      </c>
      <c r="DN9" s="3" t="s">
        <v>28</v>
      </c>
      <c r="DO9" s="3" t="s">
        <v>29</v>
      </c>
      <c r="DP9" s="3" t="s">
        <v>30</v>
      </c>
      <c r="DQ9" s="3" t="s">
        <v>31</v>
      </c>
      <c r="DR9" s="3" t="s">
        <v>10</v>
      </c>
      <c r="DS9" s="3" t="s">
        <v>11</v>
      </c>
      <c r="DT9" s="3"/>
      <c r="DU9" s="3" t="s">
        <v>1</v>
      </c>
      <c r="DV9" s="3" t="s">
        <v>2</v>
      </c>
      <c r="DW9" s="3" t="s">
        <v>3</v>
      </c>
      <c r="DX9" s="3" t="s">
        <v>4</v>
      </c>
      <c r="DY9" s="3" t="s">
        <v>5</v>
      </c>
      <c r="DZ9" s="3" t="s">
        <v>6</v>
      </c>
      <c r="EA9" s="3" t="s">
        <v>7</v>
      </c>
      <c r="EB9" s="3" t="s">
        <v>8</v>
      </c>
      <c r="EC9" s="3" t="s">
        <v>9</v>
      </c>
      <c r="ED9" s="3" t="s">
        <v>27</v>
      </c>
      <c r="EE9" s="3" t="s">
        <v>28</v>
      </c>
      <c r="EF9" s="3" t="s">
        <v>29</v>
      </c>
      <c r="EG9" s="3" t="s">
        <v>30</v>
      </c>
      <c r="EH9" s="3" t="s">
        <v>31</v>
      </c>
      <c r="EI9" s="3" t="s">
        <v>10</v>
      </c>
      <c r="EJ9" s="3" t="s">
        <v>11</v>
      </c>
      <c r="EL9" t="s">
        <v>1</v>
      </c>
      <c r="EM9" t="s">
        <v>2</v>
      </c>
      <c r="EN9" t="s">
        <v>3</v>
      </c>
      <c r="EO9" t="s">
        <v>4</v>
      </c>
      <c r="EP9" t="s">
        <v>5</v>
      </c>
      <c r="EQ9" t="s">
        <v>6</v>
      </c>
      <c r="ER9" t="s">
        <v>7</v>
      </c>
      <c r="ES9" t="s">
        <v>8</v>
      </c>
      <c r="ET9" t="s">
        <v>9</v>
      </c>
      <c r="EU9" t="s">
        <v>27</v>
      </c>
      <c r="EV9" t="s">
        <v>28</v>
      </c>
      <c r="EW9" t="s">
        <v>29</v>
      </c>
      <c r="EX9" t="s">
        <v>30</v>
      </c>
      <c r="EY9" t="s">
        <v>31</v>
      </c>
      <c r="EZ9" t="s">
        <v>10</v>
      </c>
      <c r="FA9" t="s">
        <v>11</v>
      </c>
      <c r="FC9" t="s">
        <v>1</v>
      </c>
      <c r="FD9" t="s">
        <v>2</v>
      </c>
      <c r="FE9" t="s">
        <v>3</v>
      </c>
      <c r="FF9" t="s">
        <v>4</v>
      </c>
      <c r="FG9" t="s">
        <v>5</v>
      </c>
      <c r="FH9" t="s">
        <v>6</v>
      </c>
      <c r="FI9" t="s">
        <v>7</v>
      </c>
      <c r="FJ9" t="s">
        <v>8</v>
      </c>
      <c r="FK9" t="s">
        <v>9</v>
      </c>
      <c r="FL9" t="s">
        <v>27</v>
      </c>
      <c r="FM9" t="s">
        <v>28</v>
      </c>
      <c r="FN9" t="s">
        <v>29</v>
      </c>
      <c r="FO9" t="s">
        <v>30</v>
      </c>
      <c r="FP9" t="s">
        <v>31</v>
      </c>
      <c r="FQ9" t="s">
        <v>10</v>
      </c>
      <c r="FR9" t="s">
        <v>11</v>
      </c>
    </row>
    <row r="10" spans="1:176" x14ac:dyDescent="0.25">
      <c r="B10" s="23" t="s">
        <v>94</v>
      </c>
      <c r="C10" s="17">
        <v>2.7690000000000001</v>
      </c>
      <c r="D10" s="12">
        <v>10198.6947945962</v>
      </c>
      <c r="E10" s="10"/>
      <c r="F10" s="12">
        <v>-6746.3221981130882</v>
      </c>
      <c r="G10" s="12">
        <v>-78.394474973762456</v>
      </c>
      <c r="H10" s="12">
        <v>915.56441863643329</v>
      </c>
      <c r="I10" s="12">
        <v>4624.5133796574801</v>
      </c>
      <c r="J10" s="12">
        <v>4239.4388649210532</v>
      </c>
      <c r="K10" s="12">
        <v>4303.7118386626253</v>
      </c>
      <c r="L10" s="12">
        <v>2041.1253564930162</v>
      </c>
      <c r="M10" s="12">
        <v>-2288.6991588856886</v>
      </c>
      <c r="N10" s="12">
        <v>-714.88673237162948</v>
      </c>
      <c r="O10" s="12">
        <v>45.067162253365723</v>
      </c>
      <c r="P10" s="12">
        <v>45.067162253365723</v>
      </c>
      <c r="Q10" s="12">
        <v>45.067162253365723</v>
      </c>
      <c r="R10" s="12">
        <v>45.067162253365723</v>
      </c>
      <c r="S10" s="12">
        <v>45.067162253365723</v>
      </c>
      <c r="T10" s="12">
        <v>1054.3074348176885</v>
      </c>
      <c r="U10" s="12">
        <v>122.47866942663209</v>
      </c>
      <c r="V10" s="20"/>
      <c r="W10" s="12">
        <v>2479.8722731792545</v>
      </c>
      <c r="X10" s="12">
        <v>1661.9692002694624</v>
      </c>
      <c r="Y10" s="12">
        <v>552.67263752206634</v>
      </c>
      <c r="Z10" s="12">
        <v>62.123591957804621</v>
      </c>
      <c r="AA10" s="12">
        <v>-22.943117504545512</v>
      </c>
      <c r="AB10" s="12">
        <v>511.29140351678421</v>
      </c>
      <c r="AC10" s="12">
        <v>-808.09342816548599</v>
      </c>
      <c r="AD10" s="12">
        <v>-1353.8809981573877</v>
      </c>
      <c r="AE10" s="12">
        <v>-989.48309084953905</v>
      </c>
      <c r="AF10" s="12">
        <v>-470.95909901894782</v>
      </c>
      <c r="AG10" s="12">
        <v>-470.95909901894782</v>
      </c>
      <c r="AH10" s="12">
        <v>-470.95909901894782</v>
      </c>
      <c r="AI10" s="12">
        <v>-470.95909901894782</v>
      </c>
      <c r="AJ10" s="12">
        <v>-470.95909901894782</v>
      </c>
      <c r="AK10" s="12">
        <v>256.888036000483</v>
      </c>
      <c r="AL10" s="12">
        <v>13.78443533778225</v>
      </c>
      <c r="AM10" s="3"/>
      <c r="AN10" s="13">
        <v>4.4288095238095238E-2</v>
      </c>
      <c r="AO10" s="13">
        <v>4.4883333333333338E-2</v>
      </c>
      <c r="AP10" s="13">
        <v>4.5478571428571431E-2</v>
      </c>
      <c r="AQ10" s="13">
        <v>4.3097619047619058E-2</v>
      </c>
      <c r="AR10" s="13">
        <v>4.2948809523809528E-2</v>
      </c>
      <c r="AS10" s="13">
        <v>4.3454761904761906E-2</v>
      </c>
      <c r="AT10" s="13">
        <v>4.5178686714285737E-2</v>
      </c>
      <c r="AU10" s="13">
        <v>4.6902611523809562E-2</v>
      </c>
      <c r="AV10" s="13">
        <v>4.8626536333333387E-2</v>
      </c>
      <c r="AW10" s="13">
        <v>5.0350461142857211E-2</v>
      </c>
      <c r="AX10" s="13">
        <v>5.2074385952381036E-2</v>
      </c>
      <c r="AY10" s="13">
        <v>5.3798310761904861E-2</v>
      </c>
      <c r="AZ10" s="13">
        <v>5.5522235571428685E-2</v>
      </c>
      <c r="BA10" s="13">
        <v>5.724616038095251E-2</v>
      </c>
      <c r="BB10" s="13">
        <v>6.0967340038095251E-2</v>
      </c>
      <c r="BC10" s="13">
        <v>7.3088810000000004E-2</v>
      </c>
      <c r="BE10" s="13">
        <v>4.1983106827648796E-3</v>
      </c>
      <c r="BF10" s="13">
        <v>5.9792450677993315E-3</v>
      </c>
      <c r="BG10" s="13">
        <v>6.5135253833096679E-3</v>
      </c>
      <c r="BH10" s="13">
        <v>6.8697122603165583E-3</v>
      </c>
      <c r="BI10" s="13">
        <v>9.0958802416096253E-3</v>
      </c>
      <c r="BJ10" s="13">
        <v>1.5774384185488821E-2</v>
      </c>
      <c r="BK10" s="13">
        <v>2.9737974922495081E-2</v>
      </c>
      <c r="BL10" s="13">
        <v>2.9737974922495081E-2</v>
      </c>
      <c r="BM10" s="13">
        <v>3.0482704358429702E-2</v>
      </c>
      <c r="BN10" s="13">
        <v>3.1512801516883737E-2</v>
      </c>
      <c r="BO10" s="13">
        <v>3.7365208521547899E-2</v>
      </c>
      <c r="BP10" s="13">
        <v>4.0900976039310866E-2</v>
      </c>
      <c r="BQ10" s="13">
        <v>4.3756926591053569E-2</v>
      </c>
      <c r="BR10" s="13">
        <v>4.6302851474507856E-2</v>
      </c>
      <c r="BS10" s="13">
        <v>5.2065361233770077E-2</v>
      </c>
      <c r="BT10" s="13">
        <v>6.2991867834435666E-2</v>
      </c>
      <c r="BU10" s="6"/>
      <c r="BV10" s="10">
        <v>5431.2607846601004</v>
      </c>
      <c r="BW10" s="10">
        <v>2072.8369100553914</v>
      </c>
      <c r="BX10" s="10">
        <v>2629.8461745059058</v>
      </c>
      <c r="BY10" s="10">
        <v>6502.4056020046901</v>
      </c>
      <c r="BZ10" s="10">
        <v>6393.6669490408149</v>
      </c>
      <c r="CA10" s="10">
        <v>7759.7126151701004</v>
      </c>
      <c r="CB10" s="10">
        <v>4562.0131272139688</v>
      </c>
      <c r="CC10" s="10">
        <v>1875.7006106012341</v>
      </c>
      <c r="CD10" s="10">
        <v>1219.1415318739691</v>
      </c>
      <c r="CE10" s="10">
        <v>894.35437940654106</v>
      </c>
      <c r="CF10" s="10">
        <v>894.35437940654106</v>
      </c>
      <c r="CG10" s="10">
        <v>894.35437940654106</v>
      </c>
      <c r="CH10" s="10">
        <v>894.35437940654106</v>
      </c>
      <c r="CI10" s="10">
        <v>894.35437940654106</v>
      </c>
      <c r="CJ10" s="10">
        <v>2194.6254447262868</v>
      </c>
      <c r="CK10" s="10">
        <v>122.4787181199066</v>
      </c>
      <c r="CL10" s="10"/>
      <c r="CM10" s="10">
        <v>12177.582982773189</v>
      </c>
      <c r="CN10" s="10">
        <v>2151.2313850291539</v>
      </c>
      <c r="CO10" s="10">
        <v>1714.2817558694724</v>
      </c>
      <c r="CP10" s="10">
        <v>1877.8922223472096</v>
      </c>
      <c r="CQ10" s="10">
        <v>2154.2280841197617</v>
      </c>
      <c r="CR10" s="10">
        <v>3456.0007765074752</v>
      </c>
      <c r="CS10" s="10">
        <v>2520.8877707209526</v>
      </c>
      <c r="CT10" s="10">
        <v>4164.3997694869222</v>
      </c>
      <c r="CU10" s="10">
        <v>1934.0282642455986</v>
      </c>
      <c r="CV10" s="10">
        <v>849.28721715317533</v>
      </c>
      <c r="CW10" s="10">
        <v>849.28721715317533</v>
      </c>
      <c r="CX10" s="10">
        <v>849.28721715317533</v>
      </c>
      <c r="CY10" s="10">
        <v>849.28721715317533</v>
      </c>
      <c r="CZ10" s="10">
        <v>849.28721715317533</v>
      </c>
      <c r="DA10" s="10">
        <v>1140.3180099085982</v>
      </c>
      <c r="DB10" s="10">
        <v>4.8693274513787444E-5</v>
      </c>
      <c r="DC10" s="10"/>
      <c r="DD10" s="10">
        <v>6330.4181303654959</v>
      </c>
      <c r="DE10" s="10">
        <v>2376.1977403946667</v>
      </c>
      <c r="DF10" s="10">
        <v>890.72975941251309</v>
      </c>
      <c r="DG10" s="10">
        <v>1556.2422713943952</v>
      </c>
      <c r="DH10" s="10">
        <v>1370.8205604980787</v>
      </c>
      <c r="DI10" s="10">
        <v>1579.2954865629549</v>
      </c>
      <c r="DJ10" s="10">
        <v>1061.4574684990826</v>
      </c>
      <c r="DK10" s="10">
        <v>800.64751593238486</v>
      </c>
      <c r="DL10" s="10">
        <v>619.0578295850521</v>
      </c>
      <c r="DM10" s="10">
        <v>316.25196572920282</v>
      </c>
      <c r="DN10" s="10">
        <v>316.25196572920282</v>
      </c>
      <c r="DO10" s="10">
        <v>316.25196572920282</v>
      </c>
      <c r="DP10" s="10">
        <v>316.25196572920282</v>
      </c>
      <c r="DQ10" s="10">
        <v>316.25196572920282</v>
      </c>
      <c r="DR10" s="10">
        <v>260.43441154767117</v>
      </c>
      <c r="DS10" s="10">
        <v>13.784447485600191</v>
      </c>
      <c r="DT10" s="10"/>
      <c r="DU10" s="10">
        <v>3850.5458571862414</v>
      </c>
      <c r="DV10" s="10">
        <v>714.22854012520452</v>
      </c>
      <c r="DW10" s="10">
        <v>338.05712189044675</v>
      </c>
      <c r="DX10" s="10">
        <v>1494.1186794365906</v>
      </c>
      <c r="DY10" s="10">
        <v>1393.7636780026241</v>
      </c>
      <c r="DZ10" s="10">
        <v>1068.0040830461708</v>
      </c>
      <c r="EA10" s="10">
        <v>1869.5508966645687</v>
      </c>
      <c r="EB10" s="10">
        <v>2154.5285140897722</v>
      </c>
      <c r="EC10" s="10">
        <v>1608.540920434591</v>
      </c>
      <c r="ED10" s="10">
        <v>787.21106474815065</v>
      </c>
      <c r="EE10" s="10">
        <v>787.21106474815065</v>
      </c>
      <c r="EF10" s="10">
        <v>787.21106474815065</v>
      </c>
      <c r="EG10" s="10">
        <v>787.21106474815065</v>
      </c>
      <c r="EH10" s="10">
        <v>787.21106474815065</v>
      </c>
      <c r="EI10" s="10">
        <v>3.5463755471881533</v>
      </c>
      <c r="EJ10" s="10">
        <v>1.2147817940063379E-5</v>
      </c>
      <c r="EL10" s="21" t="b">
        <v>1</v>
      </c>
      <c r="EM10" s="21" t="b">
        <v>1</v>
      </c>
      <c r="EN10" s="21" t="b">
        <v>1</v>
      </c>
      <c r="EO10" s="21" t="b">
        <v>1</v>
      </c>
      <c r="EP10" s="21" t="b">
        <v>1</v>
      </c>
      <c r="EQ10" s="21" t="b">
        <v>1</v>
      </c>
      <c r="ER10" s="21" t="b">
        <v>1</v>
      </c>
      <c r="ES10" s="21" t="b">
        <v>1</v>
      </c>
      <c r="ET10" s="21" t="b">
        <v>1</v>
      </c>
      <c r="EU10" s="21" t="b">
        <v>1</v>
      </c>
      <c r="EV10" s="21" t="b">
        <v>1</v>
      </c>
      <c r="EW10" s="21" t="b">
        <v>1</v>
      </c>
      <c r="EX10" s="21" t="b">
        <v>1</v>
      </c>
      <c r="EY10" s="21" t="b">
        <v>1</v>
      </c>
      <c r="EZ10" s="21" t="b">
        <v>1</v>
      </c>
      <c r="FA10" s="21" t="b">
        <v>1</v>
      </c>
      <c r="FC10" s="21" t="b">
        <v>1</v>
      </c>
      <c r="FD10" s="21" t="b">
        <v>1</v>
      </c>
      <c r="FE10" s="21" t="b">
        <v>1</v>
      </c>
      <c r="FF10" s="21" t="b">
        <v>1</v>
      </c>
      <c r="FG10" s="21" t="b">
        <v>0</v>
      </c>
      <c r="FH10" s="21" t="b">
        <v>1</v>
      </c>
      <c r="FI10" s="21" t="b">
        <v>1</v>
      </c>
      <c r="FJ10" s="21" t="b">
        <v>1</v>
      </c>
      <c r="FK10" s="21" t="b">
        <v>1</v>
      </c>
      <c r="FL10" s="21" t="b">
        <v>1</v>
      </c>
      <c r="FM10" s="21" t="b">
        <v>1</v>
      </c>
      <c r="FN10" s="21" t="b">
        <v>1</v>
      </c>
      <c r="FO10" s="21" t="b">
        <v>1</v>
      </c>
      <c r="FP10" s="21" t="b">
        <v>1</v>
      </c>
      <c r="FQ10" s="21" t="b">
        <v>1</v>
      </c>
      <c r="FR10" s="21" t="b">
        <v>1</v>
      </c>
      <c r="FT10" s="21"/>
    </row>
    <row r="11" spans="1:176" x14ac:dyDescent="0.25">
      <c r="B11" s="23" t="s">
        <v>95</v>
      </c>
      <c r="C11" s="17">
        <v>2.8010000000000002</v>
      </c>
      <c r="D11" s="12">
        <v>10476.896234257205</v>
      </c>
      <c r="E11" s="10"/>
      <c r="F11" s="12">
        <v>-6048.2992613660854</v>
      </c>
      <c r="G11" s="12">
        <v>742.37325208173479</v>
      </c>
      <c r="H11" s="12">
        <v>723.26794265803426</v>
      </c>
      <c r="I11" s="12">
        <v>3910.2461128961163</v>
      </c>
      <c r="J11" s="12">
        <v>3167.0884086649185</v>
      </c>
      <c r="K11" s="12">
        <v>4347.4067412937729</v>
      </c>
      <c r="L11" s="12">
        <v>1949.4392431269032</v>
      </c>
      <c r="M11" s="12">
        <v>-1737.1631478134871</v>
      </c>
      <c r="N11" s="12">
        <v>-558.86543854975662</v>
      </c>
      <c r="O11" s="12">
        <v>64.894761272270927</v>
      </c>
      <c r="P11" s="12">
        <v>64.894761272270927</v>
      </c>
      <c r="Q11" s="12">
        <v>64.894761272270927</v>
      </c>
      <c r="R11" s="12">
        <v>64.894761272270927</v>
      </c>
      <c r="S11" s="12">
        <v>64.894761272270927</v>
      </c>
      <c r="T11" s="12">
        <v>1105.9218668841245</v>
      </c>
      <c r="U11" s="12">
        <v>116.37289253070618</v>
      </c>
      <c r="V11" s="20"/>
      <c r="W11" s="12">
        <v>2328.1839463238152</v>
      </c>
      <c r="X11" s="12">
        <v>1345.0445593609336</v>
      </c>
      <c r="Y11" s="12">
        <v>1008.8192828906618</v>
      </c>
      <c r="Z11" s="12">
        <v>323.7573246677739</v>
      </c>
      <c r="AA11" s="12">
        <v>-117.64482620968835</v>
      </c>
      <c r="AB11" s="12">
        <v>512.66505340822198</v>
      </c>
      <c r="AC11" s="12">
        <v>-848.23444041382186</v>
      </c>
      <c r="AD11" s="12">
        <v>-1412.0474084171783</v>
      </c>
      <c r="AE11" s="12">
        <v>-1020.670338925432</v>
      </c>
      <c r="AF11" s="12">
        <v>-504.19911732569858</v>
      </c>
      <c r="AG11" s="12">
        <v>-504.19911732569858</v>
      </c>
      <c r="AH11" s="12">
        <v>-504.19911732569858</v>
      </c>
      <c r="AI11" s="12">
        <v>-504.19911732569858</v>
      </c>
      <c r="AJ11" s="12">
        <v>-504.19911732569858</v>
      </c>
      <c r="AK11" s="12">
        <v>260.29687523929795</v>
      </c>
      <c r="AL11" s="12">
        <v>12.709182888064957</v>
      </c>
      <c r="AM11" s="3"/>
      <c r="AN11" s="13">
        <v>4.2779761904761911E-2</v>
      </c>
      <c r="AO11" s="13">
        <v>4.289880952380952E-2</v>
      </c>
      <c r="AP11" s="13">
        <v>4.3017857142857142E-2</v>
      </c>
      <c r="AQ11" s="13">
        <v>4.2660714285714288E-2</v>
      </c>
      <c r="AR11" s="13">
        <v>4.2452380952380957E-2</v>
      </c>
      <c r="AS11" s="13">
        <v>4.3017857142857142E-2</v>
      </c>
      <c r="AT11" s="13">
        <v>4.5012171428571411E-2</v>
      </c>
      <c r="AU11" s="13">
        <v>4.700648571428568E-2</v>
      </c>
      <c r="AV11" s="13">
        <v>4.9000799999999949E-2</v>
      </c>
      <c r="AW11" s="13">
        <v>5.0995114285714217E-2</v>
      </c>
      <c r="AX11" s="13">
        <v>5.2989428571428486E-2</v>
      </c>
      <c r="AY11" s="13">
        <v>5.4983742857142755E-2</v>
      </c>
      <c r="AZ11" s="13">
        <v>5.6978057142857023E-2</v>
      </c>
      <c r="BA11" s="13">
        <v>5.8972371428571292E-2</v>
      </c>
      <c r="BB11" s="13">
        <v>6.342852014285702E-2</v>
      </c>
      <c r="BC11" s="13">
        <v>7.889769000000002E-2</v>
      </c>
      <c r="BE11" s="13">
        <v>4.2057023153593267E-3</v>
      </c>
      <c r="BF11" s="13">
        <v>5.9866367003937786E-3</v>
      </c>
      <c r="BG11" s="13">
        <v>6.520917015904115E-3</v>
      </c>
      <c r="BH11" s="13">
        <v>6.8771038929110054E-3</v>
      </c>
      <c r="BI11" s="13">
        <v>9.1032718742040716E-3</v>
      </c>
      <c r="BJ11" s="13">
        <v>1.5781775818083269E-2</v>
      </c>
      <c r="BK11" s="13">
        <v>2.9205024697316118E-2</v>
      </c>
      <c r="BL11" s="13">
        <v>2.9205024697316118E-2</v>
      </c>
      <c r="BM11" s="13">
        <v>3.0162792166380292E-2</v>
      </c>
      <c r="BN11" s="13">
        <v>3.1299407783492494E-2</v>
      </c>
      <c r="BO11" s="13">
        <v>3.9520566172047689E-2</v>
      </c>
      <c r="BP11" s="13">
        <v>4.3424052886025244E-2</v>
      </c>
      <c r="BQ11" s="13">
        <v>4.701135290814662E-2</v>
      </c>
      <c r="BR11" s="13">
        <v>5.0132909028714367E-2</v>
      </c>
      <c r="BS11" s="13">
        <v>5.6349409253975843E-2</v>
      </c>
      <c r="BT11" s="13">
        <v>6.81590967782435E-2</v>
      </c>
      <c r="BU11" s="6"/>
      <c r="BV11" s="10">
        <v>6135.7569579302044</v>
      </c>
      <c r="BW11" s="10">
        <v>3018.6718955084084</v>
      </c>
      <c r="BX11" s="10">
        <v>2058.723205510044</v>
      </c>
      <c r="BY11" s="10">
        <v>5797.7036195129131</v>
      </c>
      <c r="BZ11" s="10">
        <v>5660.042200436872</v>
      </c>
      <c r="CA11" s="10">
        <v>7876.7492928822185</v>
      </c>
      <c r="CB11" s="10">
        <v>4694.0371771074024</v>
      </c>
      <c r="CC11" s="10">
        <v>2400.0904934426594</v>
      </c>
      <c r="CD11" s="10">
        <v>1496.5559026860426</v>
      </c>
      <c r="CE11" s="10">
        <v>966.42621685045287</v>
      </c>
      <c r="CF11" s="10">
        <v>966.42621685045287</v>
      </c>
      <c r="CG11" s="10">
        <v>966.42621685045287</v>
      </c>
      <c r="CH11" s="10">
        <v>966.42621685045287</v>
      </c>
      <c r="CI11" s="10">
        <v>966.42621685045287</v>
      </c>
      <c r="CJ11" s="10">
        <v>2438.2342437720035</v>
      </c>
      <c r="CK11" s="10">
        <v>116.4118067573804</v>
      </c>
      <c r="CL11" s="10"/>
      <c r="CM11" s="10">
        <v>12184.05621929629</v>
      </c>
      <c r="CN11" s="10">
        <v>2276.2986434266736</v>
      </c>
      <c r="CO11" s="10">
        <v>1335.4552628520098</v>
      </c>
      <c r="CP11" s="10">
        <v>1887.4575066167968</v>
      </c>
      <c r="CQ11" s="10">
        <v>2492.9537917719535</v>
      </c>
      <c r="CR11" s="10">
        <v>3529.3425515884451</v>
      </c>
      <c r="CS11" s="10">
        <v>2744.597933980499</v>
      </c>
      <c r="CT11" s="10">
        <v>4137.2536412561467</v>
      </c>
      <c r="CU11" s="10">
        <v>2055.4213412357994</v>
      </c>
      <c r="CV11" s="10">
        <v>901.53145557818198</v>
      </c>
      <c r="CW11" s="10">
        <v>901.53145557818198</v>
      </c>
      <c r="CX11" s="10">
        <v>901.53145557818198</v>
      </c>
      <c r="CY11" s="10">
        <v>901.53145557818198</v>
      </c>
      <c r="CZ11" s="10">
        <v>901.53145557818198</v>
      </c>
      <c r="DA11" s="10">
        <v>1332.3123768878791</v>
      </c>
      <c r="DB11" s="10">
        <v>3.8914226674229072E-2</v>
      </c>
      <c r="DC11" s="10"/>
      <c r="DD11" s="10">
        <v>6526.2691068822369</v>
      </c>
      <c r="DE11" s="10">
        <v>2210.7627424582179</v>
      </c>
      <c r="DF11" s="10">
        <v>1638.8866488213168</v>
      </c>
      <c r="DG11" s="10">
        <v>1403.4171473758017</v>
      </c>
      <c r="DH11" s="10">
        <v>1160.9395784504648</v>
      </c>
      <c r="DI11" s="10">
        <v>1626.7793610687625</v>
      </c>
      <c r="DJ11" s="10">
        <v>998.95726862671074</v>
      </c>
      <c r="DK11" s="10">
        <v>786.77884509595151</v>
      </c>
      <c r="DL11" s="10">
        <v>638.88137850110593</v>
      </c>
      <c r="DM11" s="10">
        <v>281.1853585554565</v>
      </c>
      <c r="DN11" s="10">
        <v>281.1853585554565</v>
      </c>
      <c r="DO11" s="10">
        <v>281.1853585554565</v>
      </c>
      <c r="DP11" s="10">
        <v>281.1853585554565</v>
      </c>
      <c r="DQ11" s="10">
        <v>281.1853585554565</v>
      </c>
      <c r="DR11" s="10">
        <v>263.54020731013702</v>
      </c>
      <c r="DS11" s="10">
        <v>12.709193719547374</v>
      </c>
      <c r="DT11" s="10"/>
      <c r="DU11" s="10">
        <v>4198.0851605584212</v>
      </c>
      <c r="DV11" s="10">
        <v>865.7181830972844</v>
      </c>
      <c r="DW11" s="10">
        <v>630.067365930655</v>
      </c>
      <c r="DX11" s="10">
        <v>1079.6598227080278</v>
      </c>
      <c r="DY11" s="10">
        <v>1278.584404660153</v>
      </c>
      <c r="DZ11" s="10">
        <v>1114.1143076605406</v>
      </c>
      <c r="EA11" s="10">
        <v>1847.1917090405327</v>
      </c>
      <c r="EB11" s="10">
        <v>2198.8262535131298</v>
      </c>
      <c r="EC11" s="10">
        <v>1659.5517174265378</v>
      </c>
      <c r="ED11" s="10">
        <v>785.38447588115514</v>
      </c>
      <c r="EE11" s="10">
        <v>785.38447588115514</v>
      </c>
      <c r="EF11" s="10">
        <v>785.38447588115514</v>
      </c>
      <c r="EG11" s="10">
        <v>785.38447588115514</v>
      </c>
      <c r="EH11" s="10">
        <v>785.38447588115514</v>
      </c>
      <c r="EI11" s="10">
        <v>3.2433320708390623</v>
      </c>
      <c r="EJ11" s="10">
        <v>1.0831482416163732E-5</v>
      </c>
      <c r="EL11" s="21" t="b">
        <v>1</v>
      </c>
      <c r="EM11" s="21" t="b">
        <v>1</v>
      </c>
      <c r="EN11" s="21" t="b">
        <v>1</v>
      </c>
      <c r="EO11" s="21" t="b">
        <v>1</v>
      </c>
      <c r="EP11" s="21" t="b">
        <v>1</v>
      </c>
      <c r="EQ11" s="21" t="b">
        <v>1</v>
      </c>
      <c r="ER11" s="21" t="b">
        <v>1</v>
      </c>
      <c r="ES11" s="21" t="b">
        <v>1</v>
      </c>
      <c r="ET11" s="21" t="b">
        <v>1</v>
      </c>
      <c r="EU11" s="21" t="b">
        <v>1</v>
      </c>
      <c r="EV11" s="21" t="b">
        <v>1</v>
      </c>
      <c r="EW11" s="21" t="b">
        <v>1</v>
      </c>
      <c r="EX11" s="21" t="b">
        <v>1</v>
      </c>
      <c r="EY11" s="21" t="b">
        <v>1</v>
      </c>
      <c r="EZ11" s="21" t="b">
        <v>1</v>
      </c>
      <c r="FA11" s="21" t="b">
        <v>1</v>
      </c>
      <c r="FC11" s="21" t="b">
        <v>1</v>
      </c>
      <c r="FD11" s="21" t="b">
        <v>1</v>
      </c>
      <c r="FE11" s="21" t="b">
        <v>1</v>
      </c>
      <c r="FF11" s="21" t="b">
        <v>1</v>
      </c>
      <c r="FG11" s="21" t="b">
        <v>1</v>
      </c>
      <c r="FH11" s="21" t="b">
        <v>1</v>
      </c>
      <c r="FI11" s="21" t="b">
        <v>1</v>
      </c>
      <c r="FJ11" s="21" t="b">
        <v>1</v>
      </c>
      <c r="FK11" s="21" t="b">
        <v>1</v>
      </c>
      <c r="FL11" s="21" t="b">
        <v>1</v>
      </c>
      <c r="FM11" s="21" t="b">
        <v>1</v>
      </c>
      <c r="FN11" s="21" t="b">
        <v>1</v>
      </c>
      <c r="FO11" s="21" t="b">
        <v>1</v>
      </c>
      <c r="FP11" s="21" t="b">
        <v>1</v>
      </c>
      <c r="FQ11" s="21" t="b">
        <v>1</v>
      </c>
      <c r="FR11" s="21" t="b">
        <v>1</v>
      </c>
      <c r="FT11" s="21"/>
    </row>
    <row r="12" spans="1:176" x14ac:dyDescent="0.25">
      <c r="B12" s="23">
        <v>41639</v>
      </c>
      <c r="C12" s="17">
        <v>2.7949999999999999</v>
      </c>
      <c r="D12" s="12">
        <v>10755.097673918212</v>
      </c>
      <c r="E12" s="10"/>
      <c r="F12" s="12">
        <v>-5077.8412072077836</v>
      </c>
      <c r="G12" s="12">
        <v>960.4607149546614</v>
      </c>
      <c r="H12" s="12">
        <v>869.01268289473489</v>
      </c>
      <c r="I12" s="12">
        <v>4008.6328115750289</v>
      </c>
      <c r="J12" s="12">
        <v>3308.9249368500796</v>
      </c>
      <c r="K12" s="12">
        <v>4369.2210568207847</v>
      </c>
      <c r="L12" s="12">
        <v>1939.155824207289</v>
      </c>
      <c r="M12" s="12">
        <v>-1757.944904793447</v>
      </c>
      <c r="N12" s="12">
        <v>-561.05767919418736</v>
      </c>
      <c r="O12" s="12">
        <v>62.330187223268837</v>
      </c>
      <c r="P12" s="12">
        <v>62.330187223268837</v>
      </c>
      <c r="Q12" s="12">
        <v>62.330187223268837</v>
      </c>
      <c r="R12" s="12">
        <v>62.330187223268837</v>
      </c>
      <c r="S12" s="12">
        <v>62.330187223268837</v>
      </c>
      <c r="T12" s="12">
        <v>1105.9218668841245</v>
      </c>
      <c r="U12" s="12">
        <v>116.37289253070617</v>
      </c>
      <c r="V12" s="20"/>
      <c r="W12" s="12">
        <v>2317.8286350864432</v>
      </c>
      <c r="X12" s="12">
        <v>1323.2089753772977</v>
      </c>
      <c r="Y12" s="12">
        <v>1005.2454226996321</v>
      </c>
      <c r="Z12" s="12">
        <v>322.47689526362296</v>
      </c>
      <c r="AA12" s="12">
        <v>-118.36411633720542</v>
      </c>
      <c r="AB12" s="12">
        <v>512.94061874161923</v>
      </c>
      <c r="AC12" s="12">
        <v>-847.95936438572767</v>
      </c>
      <c r="AD12" s="12">
        <v>-1415.3424249524155</v>
      </c>
      <c r="AE12" s="12">
        <v>-1022.7322818156491</v>
      </c>
      <c r="AF12" s="12">
        <v>-504.18938084939282</v>
      </c>
      <c r="AG12" s="12">
        <v>-504.18938084939282</v>
      </c>
      <c r="AH12" s="12">
        <v>-504.18938084939282</v>
      </c>
      <c r="AI12" s="12">
        <v>-504.18938084939282</v>
      </c>
      <c r="AJ12" s="12">
        <v>-504.18938084939282</v>
      </c>
      <c r="AK12" s="12">
        <v>260.29687523929795</v>
      </c>
      <c r="AL12" s="12">
        <v>12.709182888064957</v>
      </c>
      <c r="AM12" s="3"/>
      <c r="AN12" s="13">
        <v>4.6388235294117647E-2</v>
      </c>
      <c r="AO12" s="13">
        <v>4.2505882352941171E-2</v>
      </c>
      <c r="AP12" s="13">
        <v>4.2623529411764706E-2</v>
      </c>
      <c r="AQ12" s="13">
        <v>4.2270588235294115E-2</v>
      </c>
      <c r="AR12" s="13">
        <v>4.2064705882352942E-2</v>
      </c>
      <c r="AS12" s="13">
        <v>4.2623529411764706E-2</v>
      </c>
      <c r="AT12" s="13">
        <v>4.4791348720588237E-2</v>
      </c>
      <c r="AU12" s="13">
        <v>4.6959168029411767E-2</v>
      </c>
      <c r="AV12" s="13">
        <v>4.9126987338235298E-2</v>
      </c>
      <c r="AW12" s="13">
        <v>5.1294806647058828E-2</v>
      </c>
      <c r="AX12" s="13">
        <v>5.3462625955882359E-2</v>
      </c>
      <c r="AY12" s="13">
        <v>5.563044526470589E-2</v>
      </c>
      <c r="AZ12" s="13">
        <v>5.779826457352942E-2</v>
      </c>
      <c r="BA12" s="13">
        <v>5.9966083882352951E-2</v>
      </c>
      <c r="BB12" s="13">
        <v>6.4487323638235283E-2</v>
      </c>
      <c r="BC12" s="13">
        <v>8.1184040000000124E-2</v>
      </c>
      <c r="BE12" s="13">
        <v>2.6323605819342419E-3</v>
      </c>
      <c r="BF12" s="13">
        <v>3.632360581934242E-3</v>
      </c>
      <c r="BG12" s="13">
        <v>4.6323605819342415E-3</v>
      </c>
      <c r="BH12" s="13">
        <v>5.2323605819342422E-3</v>
      </c>
      <c r="BI12" s="13">
        <v>7.8823605819342418E-3</v>
      </c>
      <c r="BJ12" s="13">
        <v>1.363236058193424E-2</v>
      </c>
      <c r="BK12" s="13">
        <v>3.0271069431190956E-2</v>
      </c>
      <c r="BL12" s="13">
        <v>3.0271069431190956E-2</v>
      </c>
      <c r="BM12" s="13">
        <v>3.1762872594447655E-2</v>
      </c>
      <c r="BN12" s="13">
        <v>3.3434384153675722E-2</v>
      </c>
      <c r="BO12" s="13">
        <v>3.8666040612103103E-2</v>
      </c>
      <c r="BP12" s="13">
        <v>4.2642766701119106E-2</v>
      </c>
      <c r="BQ12" s="13">
        <v>4.5799528973519354E-2</v>
      </c>
      <c r="BR12" s="13">
        <v>4.8811957664680161E-2</v>
      </c>
      <c r="BS12" s="13">
        <v>5.6565377459352507E-2</v>
      </c>
      <c r="BT12" s="13">
        <v>6.7566024964838878E-2</v>
      </c>
      <c r="BU12" s="6"/>
      <c r="BV12" s="10">
        <v>6135.7569579302044</v>
      </c>
      <c r="BW12" s="10">
        <v>3018.6718955084084</v>
      </c>
      <c r="BX12" s="10">
        <v>2058.723205510044</v>
      </c>
      <c r="BY12" s="10">
        <v>5797.7036195129131</v>
      </c>
      <c r="BZ12" s="10">
        <v>5660.042200436872</v>
      </c>
      <c r="CA12" s="10">
        <v>7876.7492928822185</v>
      </c>
      <c r="CB12" s="10">
        <v>4694.0371771074024</v>
      </c>
      <c r="CC12" s="10">
        <v>2400.0904934426594</v>
      </c>
      <c r="CD12" s="10">
        <v>1496.5559026860426</v>
      </c>
      <c r="CE12" s="10">
        <v>966.42621685045287</v>
      </c>
      <c r="CF12" s="10">
        <v>966.42621685045287</v>
      </c>
      <c r="CG12" s="10">
        <v>966.42621685045287</v>
      </c>
      <c r="CH12" s="10">
        <v>966.42621685045287</v>
      </c>
      <c r="CI12" s="10">
        <v>966.42621685045287</v>
      </c>
      <c r="CJ12" s="10">
        <v>2438.2342437720035</v>
      </c>
      <c r="CK12" s="10">
        <v>116.4118067573804</v>
      </c>
      <c r="CL12" s="10"/>
      <c r="CM12" s="10">
        <v>11213.598165137988</v>
      </c>
      <c r="CN12" s="10">
        <v>2058.211180553747</v>
      </c>
      <c r="CO12" s="10">
        <v>1189.7105226153092</v>
      </c>
      <c r="CP12" s="10">
        <v>1789.0708079378837</v>
      </c>
      <c r="CQ12" s="10">
        <v>2351.1172635867924</v>
      </c>
      <c r="CR12" s="10">
        <v>3507.5282360614342</v>
      </c>
      <c r="CS12" s="10">
        <v>2754.8813529001131</v>
      </c>
      <c r="CT12" s="10">
        <v>4158.0353982361066</v>
      </c>
      <c r="CU12" s="10">
        <v>2057.61358188023</v>
      </c>
      <c r="CV12" s="10">
        <v>904.09602962718407</v>
      </c>
      <c r="CW12" s="10">
        <v>904.09602962718407</v>
      </c>
      <c r="CX12" s="10">
        <v>904.09602962718407</v>
      </c>
      <c r="CY12" s="10">
        <v>904.09602962718407</v>
      </c>
      <c r="CZ12" s="10">
        <v>904.09602962718407</v>
      </c>
      <c r="DA12" s="10">
        <v>1332.3123768878791</v>
      </c>
      <c r="DB12" s="10">
        <v>3.8914226674231507E-2</v>
      </c>
      <c r="DC12" s="10"/>
      <c r="DD12" s="10">
        <v>6526.2691068822369</v>
      </c>
      <c r="DE12" s="10">
        <v>2210.7627424582179</v>
      </c>
      <c r="DF12" s="10">
        <v>1638.8866488213168</v>
      </c>
      <c r="DG12" s="10">
        <v>1403.4171473758017</v>
      </c>
      <c r="DH12" s="10">
        <v>1160.9395784504648</v>
      </c>
      <c r="DI12" s="10">
        <v>1626.7793610687625</v>
      </c>
      <c r="DJ12" s="10">
        <v>998.95726862671074</v>
      </c>
      <c r="DK12" s="10">
        <v>786.77884509595151</v>
      </c>
      <c r="DL12" s="10">
        <v>638.88137850110593</v>
      </c>
      <c r="DM12" s="10">
        <v>281.1853585554565</v>
      </c>
      <c r="DN12" s="10">
        <v>281.1853585554565</v>
      </c>
      <c r="DO12" s="10">
        <v>281.1853585554565</v>
      </c>
      <c r="DP12" s="10">
        <v>281.1853585554565</v>
      </c>
      <c r="DQ12" s="10">
        <v>281.1853585554565</v>
      </c>
      <c r="DR12" s="10">
        <v>263.54020731013702</v>
      </c>
      <c r="DS12" s="10">
        <v>12.709193719547374</v>
      </c>
      <c r="DT12" s="10"/>
      <c r="DU12" s="10">
        <v>4208.4404717957932</v>
      </c>
      <c r="DV12" s="10">
        <v>887.55376708092012</v>
      </c>
      <c r="DW12" s="10">
        <v>633.64122612168478</v>
      </c>
      <c r="DX12" s="10">
        <v>1080.9402521121788</v>
      </c>
      <c r="DY12" s="10">
        <v>1279.3036947876701</v>
      </c>
      <c r="DZ12" s="10">
        <v>1113.8387423271433</v>
      </c>
      <c r="EA12" s="10">
        <v>1846.9166330124385</v>
      </c>
      <c r="EB12" s="10">
        <v>2202.121270048367</v>
      </c>
      <c r="EC12" s="10">
        <v>1661.6136603167549</v>
      </c>
      <c r="ED12" s="10">
        <v>785.37473940484938</v>
      </c>
      <c r="EE12" s="10">
        <v>785.37473940484938</v>
      </c>
      <c r="EF12" s="10">
        <v>785.37473940484938</v>
      </c>
      <c r="EG12" s="10">
        <v>785.37473940484938</v>
      </c>
      <c r="EH12" s="10">
        <v>785.37473940484938</v>
      </c>
      <c r="EI12" s="10">
        <v>3.2433320708390623</v>
      </c>
      <c r="EJ12" s="10">
        <v>1.0831482416163732E-5</v>
      </c>
      <c r="EL12" s="21" t="b">
        <v>1</v>
      </c>
      <c r="EM12" s="21" t="b">
        <v>1</v>
      </c>
      <c r="EN12" s="21" t="b">
        <v>1</v>
      </c>
      <c r="EO12" s="21" t="b">
        <v>1</v>
      </c>
      <c r="EP12" s="21" t="b">
        <v>1</v>
      </c>
      <c r="EQ12" s="21" t="b">
        <v>1</v>
      </c>
      <c r="ER12" s="21" t="b">
        <v>1</v>
      </c>
      <c r="ES12" s="21" t="b">
        <v>1</v>
      </c>
      <c r="ET12" s="21" t="b">
        <v>1</v>
      </c>
      <c r="EU12" s="21" t="b">
        <v>1</v>
      </c>
      <c r="EV12" s="21" t="b">
        <v>1</v>
      </c>
      <c r="EW12" s="21" t="b">
        <v>1</v>
      </c>
      <c r="EX12" s="21" t="b">
        <v>1</v>
      </c>
      <c r="EY12" s="21" t="b">
        <v>1</v>
      </c>
      <c r="EZ12" s="21" t="b">
        <v>1</v>
      </c>
      <c r="FA12" s="21" t="b">
        <v>1</v>
      </c>
      <c r="FC12" s="21" t="b">
        <v>1</v>
      </c>
      <c r="FD12" s="21" t="b">
        <v>1</v>
      </c>
      <c r="FE12" s="21" t="b">
        <v>1</v>
      </c>
      <c r="FF12" s="21" t="b">
        <v>1</v>
      </c>
      <c r="FG12" s="21" t="b">
        <v>1</v>
      </c>
      <c r="FH12" s="21" t="b">
        <v>1</v>
      </c>
      <c r="FI12" s="21" t="b">
        <v>1</v>
      </c>
      <c r="FJ12" s="21" t="b">
        <v>1</v>
      </c>
      <c r="FK12" s="21" t="b">
        <v>1</v>
      </c>
      <c r="FL12" s="21" t="b">
        <v>1</v>
      </c>
      <c r="FM12" s="21" t="b">
        <v>1</v>
      </c>
      <c r="FN12" s="21" t="b">
        <v>1</v>
      </c>
      <c r="FO12" s="21" t="b">
        <v>1</v>
      </c>
      <c r="FP12" s="21" t="b">
        <v>1</v>
      </c>
      <c r="FQ12" s="21" t="b">
        <v>1</v>
      </c>
      <c r="FR12" s="21" t="b">
        <v>1</v>
      </c>
      <c r="FT12" s="21"/>
    </row>
    <row r="13" spans="1:176" x14ac:dyDescent="0.25">
      <c r="B13" s="23">
        <v>41670</v>
      </c>
      <c r="C13" s="17">
        <v>2.8210000000000002</v>
      </c>
      <c r="D13" s="12">
        <v>11340.347401415213</v>
      </c>
      <c r="E13" s="10"/>
      <c r="F13" s="12">
        <v>-5955.413632284638</v>
      </c>
      <c r="G13" s="12">
        <v>226.55366613161277</v>
      </c>
      <c r="H13" s="12">
        <v>2628.8917578604487</v>
      </c>
      <c r="I13" s="12">
        <v>2780.8490995445595</v>
      </c>
      <c r="J13" s="12">
        <v>3295.4545434532079</v>
      </c>
      <c r="K13" s="12">
        <v>4396.30520310263</v>
      </c>
      <c r="L13" s="12">
        <v>1990.087744706912</v>
      </c>
      <c r="M13" s="12">
        <v>-1624.7030682995892</v>
      </c>
      <c r="N13" s="12">
        <v>-476.27884021308518</v>
      </c>
      <c r="O13" s="12">
        <v>961.58400198064385</v>
      </c>
      <c r="P13" s="12">
        <v>1654.5818515099929</v>
      </c>
      <c r="Q13" s="12">
        <v>569.04527894191699</v>
      </c>
      <c r="R13" s="12">
        <v>144.48076295792504</v>
      </c>
      <c r="S13" s="12">
        <v>-2846.5638549418486</v>
      </c>
      <c r="T13" s="12">
        <v>1103.6598723069155</v>
      </c>
      <c r="U13" s="12">
        <v>112.60437838367801</v>
      </c>
      <c r="V13" s="20"/>
      <c r="W13" s="12">
        <v>2556.0832952904839</v>
      </c>
      <c r="X13" s="12">
        <v>576.15011709484486</v>
      </c>
      <c r="Y13" s="12">
        <v>30.417235415513233</v>
      </c>
      <c r="Z13" s="12">
        <v>514.63454611454961</v>
      </c>
      <c r="AA13" s="12">
        <v>-147.01312744080423</v>
      </c>
      <c r="AB13" s="12">
        <v>574.67132442906325</v>
      </c>
      <c r="AC13" s="12">
        <v>-804.28725717835141</v>
      </c>
      <c r="AD13" s="12">
        <v>-1483.7462026664839</v>
      </c>
      <c r="AE13" s="12">
        <v>-1087.4226143134581</v>
      </c>
      <c r="AF13" s="12">
        <v>-4.2790764480625967</v>
      </c>
      <c r="AG13" s="12">
        <v>57.608686796183022</v>
      </c>
      <c r="AH13" s="12">
        <v>-463.82277331192461</v>
      </c>
      <c r="AI13" s="12">
        <v>-652.47999917740128</v>
      </c>
      <c r="AJ13" s="12">
        <v>13.543068843791986</v>
      </c>
      <c r="AK13" s="12">
        <v>257.88024812654157</v>
      </c>
      <c r="AL13" s="12">
        <v>12.232098232610518</v>
      </c>
      <c r="AM13" s="3"/>
      <c r="AN13" s="13">
        <v>4.7783430232558148E-2</v>
      </c>
      <c r="AO13" s="13">
        <v>4.7783430232558148E-2</v>
      </c>
      <c r="AP13" s="13">
        <v>4.6039244186046518E-2</v>
      </c>
      <c r="AQ13" s="13">
        <v>4.6039244186046518E-2</v>
      </c>
      <c r="AR13" s="13">
        <v>4.6039244186046518E-2</v>
      </c>
      <c r="AS13" s="13">
        <v>4.6039244186046518E-2</v>
      </c>
      <c r="AT13" s="13">
        <v>4.8526772017441877E-2</v>
      </c>
      <c r="AU13" s="13">
        <v>5.1014299848837236E-2</v>
      </c>
      <c r="AV13" s="13">
        <v>5.3501827680232594E-2</v>
      </c>
      <c r="AW13" s="13">
        <v>5.5989355511627953E-2</v>
      </c>
      <c r="AX13" s="13">
        <v>5.8476883343023311E-2</v>
      </c>
      <c r="AY13" s="13">
        <v>6.096441117441867E-2</v>
      </c>
      <c r="AZ13" s="13">
        <v>6.3451939005814029E-2</v>
      </c>
      <c r="BA13" s="13">
        <v>6.5939466837209387E-2</v>
      </c>
      <c r="BB13" s="13">
        <v>7.1659536933720971E-2</v>
      </c>
      <c r="BC13" s="13">
        <v>8.9727210000000168E-2</v>
      </c>
      <c r="BE13" s="13">
        <v>2.691065040366405E-3</v>
      </c>
      <c r="BF13" s="13">
        <v>3.691065040366405E-3</v>
      </c>
      <c r="BG13" s="13">
        <v>4.691065040366405E-3</v>
      </c>
      <c r="BH13" s="13">
        <v>5.2910650403664057E-3</v>
      </c>
      <c r="BI13" s="13">
        <v>7.9410650403664053E-3</v>
      </c>
      <c r="BJ13" s="13">
        <v>1.3691065040366403E-2</v>
      </c>
      <c r="BK13" s="13">
        <v>2.9989496455056219E-2</v>
      </c>
      <c r="BL13" s="13">
        <v>2.9951195411676679E-2</v>
      </c>
      <c r="BM13" s="13">
        <v>3.1336057496966774E-2</v>
      </c>
      <c r="BN13" s="13">
        <v>3.2900423588850147E-2</v>
      </c>
      <c r="BO13" s="13">
        <v>3.4950284216203942E-2</v>
      </c>
      <c r="BP13" s="13">
        <v>3.8826171148636179E-2</v>
      </c>
      <c r="BQ13" s="13">
        <v>4.220995596964161E-2</v>
      </c>
      <c r="BR13" s="13">
        <v>4.5434115692041699E-2</v>
      </c>
      <c r="BS13" s="13">
        <v>5.3001213782276978E-2</v>
      </c>
      <c r="BT13" s="13">
        <v>6.4478191813800878E-2</v>
      </c>
      <c r="BU13" s="6"/>
      <c r="BV13" s="10">
        <v>5642.4803498816591</v>
      </c>
      <c r="BW13" s="10">
        <v>2453.2444025610876</v>
      </c>
      <c r="BX13" s="10">
        <v>3410.1408493859308</v>
      </c>
      <c r="BY13" s="10">
        <v>4523.9579804159721</v>
      </c>
      <c r="BZ13" s="10">
        <v>5644.4452413565896</v>
      </c>
      <c r="CA13" s="10">
        <v>8053.7465344458878</v>
      </c>
      <c r="CB13" s="10">
        <v>4709.2740701171288</v>
      </c>
      <c r="CC13" s="10">
        <v>2490.1502206541445</v>
      </c>
      <c r="CD13" s="10">
        <v>1551.7017686922422</v>
      </c>
      <c r="CE13" s="10">
        <v>1030.9807009007809</v>
      </c>
      <c r="CF13" s="10">
        <v>1944.1793522390435</v>
      </c>
      <c r="CG13" s="10">
        <v>777.85104052872055</v>
      </c>
      <c r="CH13" s="10">
        <v>592.26048287806202</v>
      </c>
      <c r="CI13" s="10">
        <v>613.91238026766086</v>
      </c>
      <c r="CJ13" s="10">
        <v>2473.8192856983374</v>
      </c>
      <c r="CK13" s="10">
        <v>112.60443524130477</v>
      </c>
      <c r="CL13" s="10"/>
      <c r="CM13" s="10">
        <v>11597.893982166297</v>
      </c>
      <c r="CN13" s="10">
        <v>2226.6907364294748</v>
      </c>
      <c r="CO13" s="10">
        <v>781.24909152548184</v>
      </c>
      <c r="CP13" s="10">
        <v>1743.1088808714126</v>
      </c>
      <c r="CQ13" s="10">
        <v>2348.9906979033817</v>
      </c>
      <c r="CR13" s="10">
        <v>3657.4413313432583</v>
      </c>
      <c r="CS13" s="10">
        <v>2719.1863254102168</v>
      </c>
      <c r="CT13" s="10">
        <v>4114.8532889537337</v>
      </c>
      <c r="CU13" s="10">
        <v>2027.9806089053275</v>
      </c>
      <c r="CV13" s="10">
        <v>69.396698920136956</v>
      </c>
      <c r="CW13" s="10">
        <v>289.59750072905058</v>
      </c>
      <c r="CX13" s="10">
        <v>208.80576158680358</v>
      </c>
      <c r="CY13" s="10">
        <v>447.77971992013698</v>
      </c>
      <c r="CZ13" s="10">
        <v>3460.4762352095095</v>
      </c>
      <c r="DA13" s="10">
        <v>1370.1594133914218</v>
      </c>
      <c r="DB13" s="10">
        <v>5.6857626759854609E-5</v>
      </c>
      <c r="DC13" s="10"/>
      <c r="DD13" s="10">
        <v>6457.3590139444514</v>
      </c>
      <c r="DE13" s="10">
        <v>2803.6744774088984</v>
      </c>
      <c r="DF13" s="10">
        <v>1082.3383604569938</v>
      </c>
      <c r="DG13" s="10">
        <v>1507.4654120259593</v>
      </c>
      <c r="DH13" s="10">
        <v>1128.1604169873901</v>
      </c>
      <c r="DI13" s="10">
        <v>1695.7767890507662</v>
      </c>
      <c r="DJ13" s="10">
        <v>1061.4638227670698</v>
      </c>
      <c r="DK13" s="10">
        <v>807.76450385571968</v>
      </c>
      <c r="DL13" s="10">
        <v>652.69521173088265</v>
      </c>
      <c r="DM13" s="10">
        <v>619.23905641171723</v>
      </c>
      <c r="DN13" s="10">
        <v>1166.7700973412389</v>
      </c>
      <c r="DO13" s="10">
        <v>200.93663775726287</v>
      </c>
      <c r="DP13" s="10">
        <v>209.86006130955536</v>
      </c>
      <c r="DQ13" s="10">
        <v>919.02699667203763</v>
      </c>
      <c r="DR13" s="10">
        <v>260.95855806389784</v>
      </c>
      <c r="DS13" s="10">
        <v>12.232108859386658</v>
      </c>
      <c r="DT13" s="10"/>
      <c r="DU13" s="10">
        <v>3901.2757186539675</v>
      </c>
      <c r="DV13" s="10">
        <v>2227.5243603140534</v>
      </c>
      <c r="DW13" s="10">
        <v>1051.9211250414805</v>
      </c>
      <c r="DX13" s="10">
        <v>992.83086591140955</v>
      </c>
      <c r="DY13" s="10">
        <v>1275.1735444281944</v>
      </c>
      <c r="DZ13" s="10">
        <v>1121.1054646217028</v>
      </c>
      <c r="EA13" s="10">
        <v>1865.7510799454215</v>
      </c>
      <c r="EB13" s="10">
        <v>2291.5107065222037</v>
      </c>
      <c r="EC13" s="10">
        <v>1740.1178260443407</v>
      </c>
      <c r="ED13" s="10">
        <v>623.51813285977983</v>
      </c>
      <c r="EE13" s="10">
        <v>1109.1614105450558</v>
      </c>
      <c r="EF13" s="10">
        <v>664.75941106918754</v>
      </c>
      <c r="EG13" s="10">
        <v>862.34006048695665</v>
      </c>
      <c r="EH13" s="10">
        <v>905.48392782824567</v>
      </c>
      <c r="EI13" s="10">
        <v>3.0783099373562779</v>
      </c>
      <c r="EJ13" s="10">
        <v>1.0626776139689666E-5</v>
      </c>
      <c r="EL13" s="21" t="b">
        <v>1</v>
      </c>
      <c r="EM13" s="21" t="b">
        <v>1</v>
      </c>
      <c r="EN13" s="21" t="b">
        <v>1</v>
      </c>
      <c r="EO13" s="21" t="b">
        <v>1</v>
      </c>
      <c r="EP13" s="21" t="b">
        <v>1</v>
      </c>
      <c r="EQ13" s="21" t="b">
        <v>1</v>
      </c>
      <c r="ER13" s="21" t="b">
        <v>1</v>
      </c>
      <c r="ES13" s="21" t="b">
        <v>1</v>
      </c>
      <c r="ET13" s="21" t="b">
        <v>1</v>
      </c>
      <c r="EU13" s="21" t="b">
        <v>1</v>
      </c>
      <c r="EV13" s="21" t="b">
        <v>1</v>
      </c>
      <c r="EW13" s="21" t="b">
        <v>1</v>
      </c>
      <c r="EX13" s="21" t="b">
        <v>1</v>
      </c>
      <c r="EY13" s="21" t="b">
        <v>1</v>
      </c>
      <c r="EZ13" s="21" t="b">
        <v>1</v>
      </c>
      <c r="FA13" s="21" t="b">
        <v>1</v>
      </c>
      <c r="FC13" s="21" t="b">
        <v>1</v>
      </c>
      <c r="FD13" s="21" t="b">
        <v>1</v>
      </c>
      <c r="FE13" s="21" t="b">
        <v>1</v>
      </c>
      <c r="FF13" s="21" t="b">
        <v>1</v>
      </c>
      <c r="FG13" s="21" t="b">
        <v>1</v>
      </c>
      <c r="FH13" s="21" t="b">
        <v>1</v>
      </c>
      <c r="FI13" s="21" t="b">
        <v>0</v>
      </c>
      <c r="FJ13" s="21" t="b">
        <v>1</v>
      </c>
      <c r="FK13" s="21" t="b">
        <v>1</v>
      </c>
      <c r="FL13" s="21" t="b">
        <v>1</v>
      </c>
      <c r="FM13" s="21" t="b">
        <v>0</v>
      </c>
      <c r="FN13" s="21" t="b">
        <v>1</v>
      </c>
      <c r="FO13" s="21" t="b">
        <v>1</v>
      </c>
      <c r="FP13" s="21" t="b">
        <v>1</v>
      </c>
      <c r="FQ13" s="21" t="b">
        <v>1</v>
      </c>
      <c r="FR13" s="21" t="b">
        <v>1</v>
      </c>
      <c r="FT13" s="21"/>
    </row>
    <row r="14" spans="1:176" x14ac:dyDescent="0.25">
      <c r="A14" t="str">
        <f>TEXT(B14,"mmm yyy ")</f>
        <v xml:space="preserve">Feb 2014 </v>
      </c>
      <c r="B14" s="23">
        <v>41698</v>
      </c>
      <c r="C14" s="17">
        <v>2.8</v>
      </c>
      <c r="D14" s="12">
        <v>11259.695089196499</v>
      </c>
      <c r="E14" s="10"/>
      <c r="F14" s="12">
        <v>-6141.957529028743</v>
      </c>
      <c r="G14" s="12">
        <v>2482.5648845391638</v>
      </c>
      <c r="H14" s="12">
        <v>1155.9199172292513</v>
      </c>
      <c r="I14" s="12">
        <v>2974.05372190449</v>
      </c>
      <c r="J14" s="12">
        <v>2662.7062131984294</v>
      </c>
      <c r="K14" s="12">
        <v>4813.2452277398179</v>
      </c>
      <c r="L14" s="12">
        <v>2194.6960814022709</v>
      </c>
      <c r="M14" s="12">
        <v>-1262.0219330558596</v>
      </c>
      <c r="N14" s="12">
        <v>-521.11126919891956</v>
      </c>
      <c r="O14" s="12">
        <v>960.03456534145801</v>
      </c>
      <c r="P14" s="12">
        <v>1629.5815565631519</v>
      </c>
      <c r="Q14" s="12">
        <v>579.86239056371528</v>
      </c>
      <c r="R14" s="12">
        <v>157.16492892231378</v>
      </c>
      <c r="S14" s="12">
        <v>-2720.9199493822625</v>
      </c>
      <c r="T14" s="12">
        <v>1180.1326864751873</v>
      </c>
      <c r="U14" s="12">
        <v>110.20327371946568</v>
      </c>
      <c r="V14" s="20"/>
      <c r="W14" s="12">
        <v>1941.217996260076</v>
      </c>
      <c r="X14" s="12">
        <v>370.61927850641393</v>
      </c>
      <c r="Y14" s="12">
        <v>1012.6137088093182</v>
      </c>
      <c r="Z14" s="12">
        <v>-66.125064397270307</v>
      </c>
      <c r="AA14" s="12">
        <v>-316.79168211728836</v>
      </c>
      <c r="AB14" s="12">
        <v>437.36648723370683</v>
      </c>
      <c r="AC14" s="12">
        <v>-710.16868620274363</v>
      </c>
      <c r="AD14" s="12">
        <v>-1527.5722235136445</v>
      </c>
      <c r="AE14" s="12">
        <v>-1121.9865555027802</v>
      </c>
      <c r="AF14" s="12">
        <v>-50.05799422380224</v>
      </c>
      <c r="AG14" s="12">
        <v>50.894460557954588</v>
      </c>
      <c r="AH14" s="12">
        <v>-384.24262170385657</v>
      </c>
      <c r="AI14" s="12">
        <v>-640.57735876292975</v>
      </c>
      <c r="AJ14" s="12">
        <v>16.630982690222623</v>
      </c>
      <c r="AK14" s="12">
        <v>256.46247163776343</v>
      </c>
      <c r="AL14" s="12">
        <v>11.785612163499838</v>
      </c>
      <c r="AM14" s="3"/>
      <c r="AN14" s="13">
        <v>4.7327586206896553E-2</v>
      </c>
      <c r="AO14" s="13">
        <v>4.7672413793103448E-2</v>
      </c>
      <c r="AP14" s="13">
        <v>4.7902298850574718E-2</v>
      </c>
      <c r="AQ14" s="13">
        <v>4.8132183908045974E-2</v>
      </c>
      <c r="AR14" s="13">
        <v>4.8448275862068971E-2</v>
      </c>
      <c r="AS14" s="13">
        <v>4.8706896551724131E-2</v>
      </c>
      <c r="AT14" s="13">
        <v>5.1051877146551725E-2</v>
      </c>
      <c r="AU14" s="13">
        <v>5.3396857741379318E-2</v>
      </c>
      <c r="AV14" s="13">
        <v>5.5741838336206911E-2</v>
      </c>
      <c r="AW14" s="13">
        <v>5.8086818931034505E-2</v>
      </c>
      <c r="AX14" s="13">
        <v>6.0431799525862098E-2</v>
      </c>
      <c r="AY14" s="13">
        <v>6.2776780120689685E-2</v>
      </c>
      <c r="AZ14" s="13">
        <v>6.5121760715517271E-2</v>
      </c>
      <c r="BA14" s="13">
        <v>6.7466741310344858E-2</v>
      </c>
      <c r="BB14" s="13">
        <v>7.2578557881034483E-2</v>
      </c>
      <c r="BC14" s="13">
        <v>8.597241000000011E-2</v>
      </c>
      <c r="BE14" s="13">
        <v>3.1008373078117227E-3</v>
      </c>
      <c r="BF14" s="13">
        <v>4.3008373078117224E-3</v>
      </c>
      <c r="BG14" s="13">
        <v>4.7008373078117225E-3</v>
      </c>
      <c r="BH14" s="13">
        <v>5.3008373078117232E-3</v>
      </c>
      <c r="BI14" s="13">
        <v>7.9508373078117228E-3</v>
      </c>
      <c r="BJ14" s="13">
        <v>1.3700837307811721E-2</v>
      </c>
      <c r="BK14" s="13">
        <v>3.0949273947722622E-2</v>
      </c>
      <c r="BL14" s="13">
        <v>3.1124320767084379E-2</v>
      </c>
      <c r="BM14" s="13">
        <v>3.2510021246966225E-2</v>
      </c>
      <c r="BN14" s="13">
        <v>3.4075327338317196E-2</v>
      </c>
      <c r="BO14" s="13">
        <v>3.6737562954717307E-2</v>
      </c>
      <c r="BP14" s="13">
        <v>4.0643077568331742E-2</v>
      </c>
      <c r="BQ14" s="13">
        <v>4.4059355073653439E-2</v>
      </c>
      <c r="BR14" s="13">
        <v>4.7217304171335517E-2</v>
      </c>
      <c r="BS14" s="13">
        <v>5.296098788788188E-2</v>
      </c>
      <c r="BT14" s="13">
        <v>6.2845630654543516E-2</v>
      </c>
      <c r="BU14" s="6"/>
      <c r="BV14" s="10">
        <v>4988.4272012585825</v>
      </c>
      <c r="BW14" s="10">
        <v>3970.7078299328996</v>
      </c>
      <c r="BX14" s="10">
        <v>2415.7875471563834</v>
      </c>
      <c r="BY14" s="10">
        <v>4540.9304256341738</v>
      </c>
      <c r="BZ14" s="10">
        <v>5562.7221827064614</v>
      </c>
      <c r="CA14" s="10">
        <v>8193.5479667771287</v>
      </c>
      <c r="CB14" s="10">
        <v>4925.8031585538911</v>
      </c>
      <c r="CC14" s="10">
        <v>2844.892390896774</v>
      </c>
      <c r="CD14" s="10">
        <v>1523.8598567148624</v>
      </c>
      <c r="CE14" s="10">
        <v>1039.1857726566925</v>
      </c>
      <c r="CF14" s="10">
        <v>2124.0918177003459</v>
      </c>
      <c r="CG14" s="10">
        <v>787.87744076841625</v>
      </c>
      <c r="CH14" s="10">
        <v>604.15393746034806</v>
      </c>
      <c r="CI14" s="10">
        <v>712.42359173442969</v>
      </c>
      <c r="CJ14" s="10">
        <v>2585.666632705098</v>
      </c>
      <c r="CK14" s="10">
        <v>110.2033284769032</v>
      </c>
      <c r="CL14" s="10"/>
      <c r="CM14" s="10">
        <v>11130.384730287326</v>
      </c>
      <c r="CN14" s="10">
        <v>1488.142945393736</v>
      </c>
      <c r="CO14" s="10">
        <v>1259.8676299271322</v>
      </c>
      <c r="CP14" s="10">
        <v>1566.8767037296839</v>
      </c>
      <c r="CQ14" s="10">
        <v>2900.015969508032</v>
      </c>
      <c r="CR14" s="10">
        <v>3380.3027390373113</v>
      </c>
      <c r="CS14" s="10">
        <v>2731.1070771516202</v>
      </c>
      <c r="CT14" s="10">
        <v>4106.9143239526338</v>
      </c>
      <c r="CU14" s="10">
        <v>2044.9711259137819</v>
      </c>
      <c r="CV14" s="10">
        <v>79.151207315234529</v>
      </c>
      <c r="CW14" s="10">
        <v>494.51026113719388</v>
      </c>
      <c r="CX14" s="10">
        <v>208.01505020470091</v>
      </c>
      <c r="CY14" s="10">
        <v>446.98900853803428</v>
      </c>
      <c r="CZ14" s="10">
        <v>3433.343541116692</v>
      </c>
      <c r="DA14" s="10">
        <v>1405.5339462299107</v>
      </c>
      <c r="DB14" s="10">
        <v>5.4757437506560708E-5</v>
      </c>
      <c r="DC14" s="10"/>
      <c r="DD14" s="10">
        <v>7553.4626910141615</v>
      </c>
      <c r="DE14" s="10">
        <v>1852.090903588871</v>
      </c>
      <c r="DF14" s="10">
        <v>1335.0576159899451</v>
      </c>
      <c r="DG14" s="10">
        <v>1326.6244221462218</v>
      </c>
      <c r="DH14" s="10">
        <v>1113.7620761876349</v>
      </c>
      <c r="DI14" s="10">
        <v>1626.1271467578456</v>
      </c>
      <c r="DJ14" s="10">
        <v>1106.8971016263768</v>
      </c>
      <c r="DK14" s="10">
        <v>764.25723367431988</v>
      </c>
      <c r="DL14" s="10">
        <v>639.28503305701736</v>
      </c>
      <c r="DM14" s="10">
        <v>603.51429772382426</v>
      </c>
      <c r="DN14" s="10">
        <v>1160.0559501512473</v>
      </c>
      <c r="DO14" s="10">
        <v>280.51008765802845</v>
      </c>
      <c r="DP14" s="10">
        <v>225.35196183191567</v>
      </c>
      <c r="DQ14" s="10">
        <v>902.3327912657827</v>
      </c>
      <c r="DR14" s="10">
        <v>259.41276041904092</v>
      </c>
      <c r="DS14" s="10">
        <v>11.785622524315738</v>
      </c>
      <c r="DT14" s="10"/>
      <c r="DU14" s="10">
        <v>5612.2446947540857</v>
      </c>
      <c r="DV14" s="10">
        <v>1481.4716250824572</v>
      </c>
      <c r="DW14" s="10">
        <v>322.44390718062687</v>
      </c>
      <c r="DX14" s="10">
        <v>1392.7494865434921</v>
      </c>
      <c r="DY14" s="10">
        <v>1430.5537583049233</v>
      </c>
      <c r="DZ14" s="10">
        <v>1188.7606595241389</v>
      </c>
      <c r="EA14" s="10">
        <v>1817.0657878291204</v>
      </c>
      <c r="EB14" s="10">
        <v>2291.8294571879646</v>
      </c>
      <c r="EC14" s="10">
        <v>1761.2715885597975</v>
      </c>
      <c r="ED14" s="10">
        <v>653.57229194762647</v>
      </c>
      <c r="EE14" s="10">
        <v>1109.1614895932928</v>
      </c>
      <c r="EF14" s="10">
        <v>664.75270936188508</v>
      </c>
      <c r="EG14" s="10">
        <v>865.92932059484542</v>
      </c>
      <c r="EH14" s="10">
        <v>885.70180857556011</v>
      </c>
      <c r="EI14" s="10">
        <v>2.9502887812774876</v>
      </c>
      <c r="EJ14" s="10">
        <v>1.0360815900202029E-5</v>
      </c>
      <c r="EL14" s="21" t="b">
        <v>1</v>
      </c>
      <c r="EM14" s="21" t="b">
        <v>1</v>
      </c>
      <c r="EN14" s="21" t="b">
        <v>1</v>
      </c>
      <c r="EO14" s="21" t="b">
        <v>1</v>
      </c>
      <c r="EP14" s="21" t="b">
        <v>1</v>
      </c>
      <c r="EQ14" s="21" t="b">
        <v>1</v>
      </c>
      <c r="ER14" s="21" t="b">
        <v>1</v>
      </c>
      <c r="ES14" s="21" t="b">
        <v>1</v>
      </c>
      <c r="ET14" s="21" t="b">
        <v>0</v>
      </c>
      <c r="EU14" s="21" t="b">
        <v>1</v>
      </c>
      <c r="EV14" s="21" t="b">
        <v>1</v>
      </c>
      <c r="EW14" s="21" t="b">
        <v>1</v>
      </c>
      <c r="EX14" s="21" t="b">
        <v>1</v>
      </c>
      <c r="EY14" s="21" t="b">
        <v>1</v>
      </c>
      <c r="EZ14" s="21" t="b">
        <v>1</v>
      </c>
      <c r="FA14" s="21" t="b">
        <v>1</v>
      </c>
      <c r="FC14" s="21" t="b">
        <v>1</v>
      </c>
      <c r="FD14" s="21" t="b">
        <v>1</v>
      </c>
      <c r="FE14" s="21" t="b">
        <v>1</v>
      </c>
      <c r="FF14" s="21" t="b">
        <v>1</v>
      </c>
      <c r="FG14" s="21" t="b">
        <v>1</v>
      </c>
      <c r="FH14" s="21" t="b">
        <v>1</v>
      </c>
      <c r="FI14" s="21" t="b">
        <v>1</v>
      </c>
      <c r="FJ14" s="21" t="b">
        <v>1</v>
      </c>
      <c r="FK14" s="21" t="b">
        <v>1</v>
      </c>
      <c r="FL14" s="21" t="b">
        <v>1</v>
      </c>
      <c r="FM14" s="21" t="b">
        <v>0</v>
      </c>
      <c r="FN14" s="21" t="b">
        <v>1</v>
      </c>
      <c r="FO14" s="21" t="b">
        <v>1</v>
      </c>
      <c r="FP14" s="21" t="b">
        <v>1</v>
      </c>
      <c r="FQ14" s="21" t="b">
        <v>1</v>
      </c>
      <c r="FR14" s="21" t="b">
        <v>1</v>
      </c>
      <c r="FT14" s="21"/>
    </row>
    <row r="15" spans="1:176" x14ac:dyDescent="0.25">
      <c r="A15" t="str">
        <f t="shared" ref="A15:A33" si="0">TEXT(B15,"mmm yyy ")</f>
        <v xml:space="preserve">Mar 2014 </v>
      </c>
      <c r="B15" s="23">
        <v>41729</v>
      </c>
      <c r="C15" s="17">
        <v>2.8079999999999998</v>
      </c>
      <c r="D15" s="12">
        <v>11477.035107002972</v>
      </c>
      <c r="E15" s="10"/>
      <c r="F15" s="12">
        <v>-3163.4244324102096</v>
      </c>
      <c r="G15" s="12">
        <v>927.47194341112902</v>
      </c>
      <c r="H15" s="12">
        <v>969.86513748784796</v>
      </c>
      <c r="I15" s="12">
        <v>2484.3487093104463</v>
      </c>
      <c r="J15" s="12">
        <v>2596.9310877917192</v>
      </c>
      <c r="K15" s="12">
        <v>4914.7118913601844</v>
      </c>
      <c r="L15" s="12">
        <v>2119.4178700726461</v>
      </c>
      <c r="M15" s="12">
        <v>-1344.5562141423832</v>
      </c>
      <c r="N15" s="12">
        <v>-557.1298793748341</v>
      </c>
      <c r="O15" s="12">
        <v>1018.772603211224</v>
      </c>
      <c r="P15" s="12">
        <v>1852.9061232471095</v>
      </c>
      <c r="Q15" s="12">
        <v>592.93598020510831</v>
      </c>
      <c r="R15" s="12">
        <v>168.9408003923233</v>
      </c>
      <c r="S15" s="12">
        <v>-2652.1353455545222</v>
      </c>
      <c r="T15" s="12">
        <v>1280.4709581853908</v>
      </c>
      <c r="U15" s="12">
        <v>106.34411517559657</v>
      </c>
      <c r="V15" s="20"/>
      <c r="W15" s="12">
        <v>2446.9773582722592</v>
      </c>
      <c r="X15" s="12">
        <v>1102.9007746859113</v>
      </c>
      <c r="Y15" s="12">
        <v>584.10117949966786</v>
      </c>
      <c r="Z15" s="12">
        <v>-674.17378061399279</v>
      </c>
      <c r="AA15" s="12">
        <v>-355.29612599791625</v>
      </c>
      <c r="AB15" s="12">
        <v>6.8735893145049261</v>
      </c>
      <c r="AC15" s="12">
        <v>-213.933260049582</v>
      </c>
      <c r="AD15" s="12">
        <v>-1452.4536982579843</v>
      </c>
      <c r="AE15" s="12">
        <v>-1044.5187536790822</v>
      </c>
      <c r="AF15" s="12">
        <v>-85.393753004441848</v>
      </c>
      <c r="AG15" s="12">
        <v>54.7242427188975</v>
      </c>
      <c r="AH15" s="12">
        <v>-353.14917710189781</v>
      </c>
      <c r="AI15" s="12">
        <v>-430.42957942119995</v>
      </c>
      <c r="AJ15" s="12">
        <v>-62.379124894558956</v>
      </c>
      <c r="AK15" s="12">
        <v>278.2254354680444</v>
      </c>
      <c r="AL15" s="12">
        <v>11.464437098714825</v>
      </c>
      <c r="AM15" s="3"/>
      <c r="AN15" s="13">
        <v>4.7103571428571425E-2</v>
      </c>
      <c r="AO15" s="13">
        <v>4.7446428571428563E-2</v>
      </c>
      <c r="AP15" s="13">
        <v>4.7675000000000002E-2</v>
      </c>
      <c r="AQ15" s="13">
        <v>4.790357142857142E-2</v>
      </c>
      <c r="AR15" s="13">
        <v>4.8217857142857139E-2</v>
      </c>
      <c r="AS15" s="13">
        <v>4.847499999999999E-2</v>
      </c>
      <c r="AT15" s="13">
        <v>5.084317025E-2</v>
      </c>
      <c r="AU15" s="13">
        <v>5.3211340500000009E-2</v>
      </c>
      <c r="AV15" s="13">
        <v>5.5579510750000019E-2</v>
      </c>
      <c r="AW15" s="13">
        <v>5.7947681000000029E-2</v>
      </c>
      <c r="AX15" s="13">
        <v>6.0315851250000038E-2</v>
      </c>
      <c r="AY15" s="13">
        <v>6.2684021500000048E-2</v>
      </c>
      <c r="AZ15" s="13">
        <v>6.5052191750000057E-2</v>
      </c>
      <c r="BA15" s="13">
        <v>6.7420362000000067E-2</v>
      </c>
      <c r="BB15" s="13">
        <v>7.230451345000001E-2</v>
      </c>
      <c r="BC15" s="13">
        <v>8.5138890000000078E-2</v>
      </c>
      <c r="BE15" s="13">
        <v>3.1014780387901724E-3</v>
      </c>
      <c r="BF15" s="13">
        <v>4.3014780387901717E-3</v>
      </c>
      <c r="BG15" s="13">
        <v>4.7014780387901718E-3</v>
      </c>
      <c r="BH15" s="13">
        <v>5.3014780387901726E-3</v>
      </c>
      <c r="BI15" s="13">
        <v>7.9514780387901721E-3</v>
      </c>
      <c r="BJ15" s="13">
        <v>1.370147803879017E-2</v>
      </c>
      <c r="BK15" s="13">
        <v>3.1589385328297581E-2</v>
      </c>
      <c r="BL15" s="13">
        <v>3.2298144516555549E-2</v>
      </c>
      <c r="BM15" s="13">
        <v>3.4218851756137703E-2</v>
      </c>
      <c r="BN15" s="13">
        <v>3.6213305689171804E-2</v>
      </c>
      <c r="BO15" s="13">
        <v>3.4472122187798604E-2</v>
      </c>
      <c r="BP15" s="13">
        <v>3.8326329871386067E-2</v>
      </c>
      <c r="BQ15" s="13">
        <v>4.1973675116922626E-2</v>
      </c>
      <c r="BR15" s="13">
        <v>4.5077057383569041E-2</v>
      </c>
      <c r="BS15" s="13">
        <v>5.2163994333125442E-2</v>
      </c>
      <c r="BT15" s="13">
        <v>6.1044491445993998E-2</v>
      </c>
      <c r="BU15" s="6"/>
      <c r="BV15" s="10">
        <v>6951.2718659020884</v>
      </c>
      <c r="BW15" s="10">
        <v>2777.7624421164965</v>
      </c>
      <c r="BX15" s="10">
        <v>1876.5739067117788</v>
      </c>
      <c r="BY15" s="10">
        <v>4284.6721680441879</v>
      </c>
      <c r="BZ15" s="10">
        <v>5514.0988445431458</v>
      </c>
      <c r="CA15" s="10">
        <v>8376.5022526972498</v>
      </c>
      <c r="CB15" s="10">
        <v>4970.3297217570289</v>
      </c>
      <c r="CC15" s="10">
        <v>2948.1841891954477</v>
      </c>
      <c r="CD15" s="10">
        <v>1565.4315463398525</v>
      </c>
      <c r="CE15" s="10">
        <v>1099.2721638246726</v>
      </c>
      <c r="CF15" s="10">
        <v>2344.9338581009852</v>
      </c>
      <c r="CG15" s="10">
        <v>800.3847196853726</v>
      </c>
      <c r="CH15" s="10">
        <v>615.36349820592102</v>
      </c>
      <c r="CI15" s="10">
        <v>868.09322804805356</v>
      </c>
      <c r="CJ15" s="10">
        <v>2715.4354697761837</v>
      </c>
      <c r="CK15" s="10">
        <v>106.3441692470234</v>
      </c>
      <c r="CL15" s="10"/>
      <c r="CM15" s="10">
        <v>10114.696298312298</v>
      </c>
      <c r="CN15" s="10">
        <v>1850.2904987053673</v>
      </c>
      <c r="CO15" s="10">
        <v>906.70876922393086</v>
      </c>
      <c r="CP15" s="10">
        <v>1800.3234587337413</v>
      </c>
      <c r="CQ15" s="10">
        <v>2917.1677567514266</v>
      </c>
      <c r="CR15" s="10">
        <v>3461.7903613370659</v>
      </c>
      <c r="CS15" s="10">
        <v>2850.9118516843828</v>
      </c>
      <c r="CT15" s="10">
        <v>4292.7404033378307</v>
      </c>
      <c r="CU15" s="10">
        <v>2122.5614257146867</v>
      </c>
      <c r="CV15" s="10">
        <v>80.499560613448494</v>
      </c>
      <c r="CW15" s="10">
        <v>492.02773485387542</v>
      </c>
      <c r="CX15" s="10">
        <v>207.44873948026432</v>
      </c>
      <c r="CY15" s="10">
        <v>446.42269781359772</v>
      </c>
      <c r="CZ15" s="10">
        <v>3520.2285736025756</v>
      </c>
      <c r="DA15" s="10">
        <v>1434.9645115907929</v>
      </c>
      <c r="DB15" s="10">
        <v>5.4071426827786993E-5</v>
      </c>
      <c r="DC15" s="10"/>
      <c r="DD15" s="10">
        <v>7045.6403962780405</v>
      </c>
      <c r="DE15" s="10">
        <v>2272.9060418299559</v>
      </c>
      <c r="DF15" s="10">
        <v>1337.8646676382673</v>
      </c>
      <c r="DG15" s="10">
        <v>1472.8064019659071</v>
      </c>
      <c r="DH15" s="10">
        <v>1110.658288842772</v>
      </c>
      <c r="DI15" s="10">
        <v>1689.6216570678498</v>
      </c>
      <c r="DJ15" s="10">
        <v>1108.3782890600455</v>
      </c>
      <c r="DK15" s="10">
        <v>781.87857969168033</v>
      </c>
      <c r="DL15" s="10">
        <v>797.45985935987744</v>
      </c>
      <c r="DM15" s="10">
        <v>463.2441245749489</v>
      </c>
      <c r="DN15" s="10">
        <v>1141.8902759471507</v>
      </c>
      <c r="DO15" s="10">
        <v>320.03323351924951</v>
      </c>
      <c r="DP15" s="10">
        <v>413.45985775131294</v>
      </c>
      <c r="DQ15" s="10">
        <v>894.76284809937022</v>
      </c>
      <c r="DR15" s="10">
        <v>280.96141786661576</v>
      </c>
      <c r="DS15" s="10">
        <v>11.46444738405304</v>
      </c>
      <c r="DT15" s="10"/>
      <c r="DU15" s="10">
        <v>4598.6630380057823</v>
      </c>
      <c r="DV15" s="10">
        <v>1170.0052671440446</v>
      </c>
      <c r="DW15" s="10">
        <v>753.76348813859931</v>
      </c>
      <c r="DX15" s="10">
        <v>2146.9801825799</v>
      </c>
      <c r="DY15" s="10">
        <v>1465.9544148406881</v>
      </c>
      <c r="DZ15" s="10">
        <v>1682.7480677533449</v>
      </c>
      <c r="EA15" s="10">
        <v>1322.3115491096273</v>
      </c>
      <c r="EB15" s="10">
        <v>2234.3322779496648</v>
      </c>
      <c r="EC15" s="10">
        <v>1841.9786130389598</v>
      </c>
      <c r="ED15" s="10">
        <v>548.63787757939076</v>
      </c>
      <c r="EE15" s="10">
        <v>1087.1660332282534</v>
      </c>
      <c r="EF15" s="10">
        <v>673.18241062114737</v>
      </c>
      <c r="EG15" s="10">
        <v>843.88943717251288</v>
      </c>
      <c r="EH15" s="10">
        <v>957.14197299392913</v>
      </c>
      <c r="EI15" s="10">
        <v>2.7359823985713501</v>
      </c>
      <c r="EJ15" s="10">
        <v>1.0285338214297633E-5</v>
      </c>
      <c r="EL15" s="21" t="b">
        <v>1</v>
      </c>
      <c r="EM15" s="21" t="b">
        <v>1</v>
      </c>
      <c r="EN15" s="21" t="b">
        <v>1</v>
      </c>
      <c r="EO15" s="21" t="b">
        <v>1</v>
      </c>
      <c r="EP15" s="21" t="b">
        <v>1</v>
      </c>
      <c r="EQ15" s="21" t="b">
        <v>1</v>
      </c>
      <c r="ER15" s="21" t="b">
        <v>1</v>
      </c>
      <c r="ES15" s="21" t="b">
        <v>1</v>
      </c>
      <c r="ET15" s="21" t="b">
        <v>1</v>
      </c>
      <c r="EU15" s="21" t="b">
        <v>1</v>
      </c>
      <c r="EV15" s="21" t="b">
        <v>1</v>
      </c>
      <c r="EW15" s="21" t="b">
        <v>1</v>
      </c>
      <c r="EX15" s="21" t="b">
        <v>1</v>
      </c>
      <c r="EY15" s="21" t="b">
        <v>1</v>
      </c>
      <c r="EZ15" s="21" t="b">
        <v>1</v>
      </c>
      <c r="FA15" s="21" t="b">
        <v>1</v>
      </c>
      <c r="FC15" s="21" t="b">
        <v>1</v>
      </c>
      <c r="FD15" s="21" t="b">
        <v>1</v>
      </c>
      <c r="FE15" s="21" t="b">
        <v>1</v>
      </c>
      <c r="FF15" s="21" t="b">
        <v>1</v>
      </c>
      <c r="FG15" s="21" t="b">
        <v>1</v>
      </c>
      <c r="FH15" s="21" t="b">
        <v>0</v>
      </c>
      <c r="FI15" s="21" t="b">
        <v>1</v>
      </c>
      <c r="FJ15" s="21" t="b">
        <v>1</v>
      </c>
      <c r="FK15" s="21" t="b">
        <v>1</v>
      </c>
      <c r="FL15" s="21" t="b">
        <v>0</v>
      </c>
      <c r="FM15" s="21" t="b">
        <v>0</v>
      </c>
      <c r="FN15" s="21" t="b">
        <v>1</v>
      </c>
      <c r="FO15" s="21" t="b">
        <v>1</v>
      </c>
      <c r="FP15" s="21" t="b">
        <v>0</v>
      </c>
      <c r="FQ15" s="21" t="b">
        <v>1</v>
      </c>
      <c r="FR15" s="21" t="b">
        <v>1</v>
      </c>
      <c r="FT15" s="21"/>
    </row>
    <row r="16" spans="1:176" x14ac:dyDescent="0.25">
      <c r="A16" t="str">
        <f t="shared" si="0"/>
        <v xml:space="preserve">Apr 2014 </v>
      </c>
      <c r="B16" s="23">
        <v>41759</v>
      </c>
      <c r="C16" s="17">
        <v>2.8079999999999998</v>
      </c>
      <c r="D16" s="12">
        <v>11475.25223755664</v>
      </c>
      <c r="E16" s="10"/>
      <c r="F16" s="12">
        <v>-4932.0826102429974</v>
      </c>
      <c r="G16" s="12">
        <v>590.00939683197839</v>
      </c>
      <c r="H16" s="12">
        <v>1860.6164935850456</v>
      </c>
      <c r="I16" s="12">
        <v>1751.8135947026053</v>
      </c>
      <c r="J16" s="12">
        <v>2312.7734291239026</v>
      </c>
      <c r="K16" s="12">
        <v>5322.3181854922259</v>
      </c>
      <c r="L16" s="12">
        <v>2187.7419849472399</v>
      </c>
      <c r="M16" s="12">
        <v>-1066.7289596259213</v>
      </c>
      <c r="N16" s="12">
        <v>-521.59558052440082</v>
      </c>
      <c r="O16" s="12">
        <v>1023.6686269809115</v>
      </c>
      <c r="P16" s="12">
        <v>1809.5751987704052</v>
      </c>
      <c r="Q16" s="12">
        <v>595.86559706036633</v>
      </c>
      <c r="R16" s="12">
        <v>179.69253013383997</v>
      </c>
      <c r="S16" s="12">
        <v>-2575.7369067588238</v>
      </c>
      <c r="T16" s="12">
        <v>1266.9563978912086</v>
      </c>
      <c r="U16" s="12">
        <v>101.98681940436309</v>
      </c>
      <c r="V16" s="20"/>
      <c r="W16" s="12">
        <v>3061.1951487209321</v>
      </c>
      <c r="X16" s="12">
        <v>955.40869103874536</v>
      </c>
      <c r="Y16" s="12">
        <v>679.48952144048781</v>
      </c>
      <c r="Z16" s="12">
        <v>-1661.6378734770772</v>
      </c>
      <c r="AA16" s="12">
        <v>-325.92334851980695</v>
      </c>
      <c r="AB16" s="12">
        <v>-89.617313541736365</v>
      </c>
      <c r="AC16" s="12">
        <v>-203.11551745699225</v>
      </c>
      <c r="AD16" s="12">
        <v>-1492.1436159573827</v>
      </c>
      <c r="AE16" s="12">
        <v>-1117.8236908594395</v>
      </c>
      <c r="AF16" s="12">
        <v>-71.918015389859875</v>
      </c>
      <c r="AG16" s="12">
        <v>72.611762702913452</v>
      </c>
      <c r="AH16" s="12">
        <v>-855.12214871693118</v>
      </c>
      <c r="AI16" s="12">
        <v>166.54804656578591</v>
      </c>
      <c r="AJ16" s="12">
        <v>-44.227787452634658</v>
      </c>
      <c r="AK16" s="12">
        <v>276.16786415640439</v>
      </c>
      <c r="AL16" s="12">
        <v>11.122147574642222</v>
      </c>
      <c r="AM16" s="3"/>
      <c r="AN16" s="13">
        <v>4.697073863636364E-2</v>
      </c>
      <c r="AO16" s="13">
        <v>4.7311647727272726E-2</v>
      </c>
      <c r="AP16" s="13">
        <v>4.7538920454545455E-2</v>
      </c>
      <c r="AQ16" s="13">
        <v>4.7766193181818177E-2</v>
      </c>
      <c r="AR16" s="13">
        <v>4.8078693181818184E-2</v>
      </c>
      <c r="AS16" s="13">
        <v>4.8334374999999992E-2</v>
      </c>
      <c r="AT16" s="13">
        <v>5.0633787750000006E-2</v>
      </c>
      <c r="AU16" s="13">
        <v>5.293320050000002E-2</v>
      </c>
      <c r="AV16" s="13">
        <v>5.5232613250000034E-2</v>
      </c>
      <c r="AW16" s="13">
        <v>5.7532026000000049E-2</v>
      </c>
      <c r="AX16" s="13">
        <v>5.9831438750000063E-2</v>
      </c>
      <c r="AY16" s="13">
        <v>6.2130851500000077E-2</v>
      </c>
      <c r="AZ16" s="13">
        <v>6.4430264250000091E-2</v>
      </c>
      <c r="BA16" s="13">
        <v>6.6729677000000098E-2</v>
      </c>
      <c r="BB16" s="13">
        <v>7.1717683450000042E-2</v>
      </c>
      <c r="BC16" s="13">
        <v>8.3056489999999927E-2</v>
      </c>
      <c r="BE16" s="13">
        <v>3.7072975243765678E-3</v>
      </c>
      <c r="BF16" s="13">
        <v>4.3072975243765672E-3</v>
      </c>
      <c r="BG16" s="13">
        <v>4.7072975243765674E-3</v>
      </c>
      <c r="BH16" s="13">
        <v>5.3072975243765681E-3</v>
      </c>
      <c r="BI16" s="13">
        <v>7.9572975243765685E-3</v>
      </c>
      <c r="BJ16" s="13">
        <v>1.3707297524376567E-2</v>
      </c>
      <c r="BK16" s="13">
        <v>2.7112968672564186E-2</v>
      </c>
      <c r="BL16" s="13">
        <v>2.7713531613287268E-2</v>
      </c>
      <c r="BM16" s="13">
        <v>2.9523123615196933E-2</v>
      </c>
      <c r="BN16" s="13">
        <v>3.1619507041880324E-2</v>
      </c>
      <c r="BO16" s="13">
        <v>3.1999593831117279E-2</v>
      </c>
      <c r="BP16" s="13">
        <v>3.5515974690922603E-2</v>
      </c>
      <c r="BQ16" s="13">
        <v>3.9213408023827556E-2</v>
      </c>
      <c r="BR16" s="13">
        <v>4.2691397326344971E-2</v>
      </c>
      <c r="BS16" s="13">
        <v>4.9615023691924651E-2</v>
      </c>
      <c r="BT16" s="13">
        <v>5.8909442853253724E-2</v>
      </c>
      <c r="BU16" s="6"/>
      <c r="BV16" s="10">
        <v>5417.4553578557607</v>
      </c>
      <c r="BW16" s="10">
        <v>2189.7273782152906</v>
      </c>
      <c r="BX16" s="10">
        <v>2831.3130020124509</v>
      </c>
      <c r="BY16" s="10">
        <v>4216.4531574977364</v>
      </c>
      <c r="BZ16" s="10">
        <v>5245.1360329495519</v>
      </c>
      <c r="CA16" s="10">
        <v>8673.6304775032495</v>
      </c>
      <c r="CB16" s="10">
        <v>4954.928929679666</v>
      </c>
      <c r="CC16" s="10">
        <v>3076.6698786441507</v>
      </c>
      <c r="CD16" s="10">
        <v>1556.3179657758408</v>
      </c>
      <c r="CE16" s="10">
        <v>1103.4361837345525</v>
      </c>
      <c r="CF16" s="10">
        <v>2298.1424848951165</v>
      </c>
      <c r="CG16" s="10">
        <v>802.52492363368845</v>
      </c>
      <c r="CH16" s="10">
        <v>619.76470392938438</v>
      </c>
      <c r="CI16" s="10">
        <v>866.60759022323634</v>
      </c>
      <c r="CJ16" s="10">
        <v>2725.3115715954291</v>
      </c>
      <c r="CK16" s="10">
        <v>101.98687224621436</v>
      </c>
      <c r="CL16" s="10"/>
      <c r="CM16" s="10">
        <v>10349.537968098759</v>
      </c>
      <c r="CN16" s="10">
        <v>1599.7179813833122</v>
      </c>
      <c r="CO16" s="10">
        <v>970.69650842740521</v>
      </c>
      <c r="CP16" s="10">
        <v>2464.639562795131</v>
      </c>
      <c r="CQ16" s="10">
        <v>2932.3626038256493</v>
      </c>
      <c r="CR16" s="10">
        <v>3351.3122920110231</v>
      </c>
      <c r="CS16" s="10">
        <v>2767.1869447324261</v>
      </c>
      <c r="CT16" s="10">
        <v>4143.3988382700718</v>
      </c>
      <c r="CU16" s="10">
        <v>2077.9135463002417</v>
      </c>
      <c r="CV16" s="10">
        <v>79.767556753641045</v>
      </c>
      <c r="CW16" s="10">
        <v>488.56728612471113</v>
      </c>
      <c r="CX16" s="10">
        <v>206.65932657332218</v>
      </c>
      <c r="CY16" s="10">
        <v>440.07217379554442</v>
      </c>
      <c r="CZ16" s="10">
        <v>3442.3444969820603</v>
      </c>
      <c r="DA16" s="10">
        <v>1458.3551737042205</v>
      </c>
      <c r="DB16" s="10">
        <v>5.2841851275717775E-5</v>
      </c>
      <c r="DC16" s="10"/>
      <c r="DD16" s="10">
        <v>6978.3927931372764</v>
      </c>
      <c r="DE16" s="10">
        <v>2074.8613392478042</v>
      </c>
      <c r="DF16" s="10">
        <v>1192.2375786118275</v>
      </c>
      <c r="DG16" s="10">
        <v>1477.0109568618034</v>
      </c>
      <c r="DH16" s="10">
        <v>1082.5438004078085</v>
      </c>
      <c r="DI16" s="10">
        <v>1627.54703660582</v>
      </c>
      <c r="DJ16" s="10">
        <v>1140.5570577188316</v>
      </c>
      <c r="DK16" s="10">
        <v>808.52353494376393</v>
      </c>
      <c r="DL16" s="10">
        <v>765.67624877017113</v>
      </c>
      <c r="DM16" s="10">
        <v>476.73690058311968</v>
      </c>
      <c r="DN16" s="10">
        <v>1159.2895113556524</v>
      </c>
      <c r="DO16" s="10">
        <v>537.93062828860218</v>
      </c>
      <c r="DP16" s="10">
        <v>983.91907011742467</v>
      </c>
      <c r="DQ16" s="10">
        <v>181.25459817197637</v>
      </c>
      <c r="DR16" s="10">
        <v>278.73365452134345</v>
      </c>
      <c r="DS16" s="10">
        <v>11.122157706909245</v>
      </c>
      <c r="DT16" s="10"/>
      <c r="DU16" s="10">
        <v>3917.1976444163442</v>
      </c>
      <c r="DV16" s="10">
        <v>1119.4526482090585</v>
      </c>
      <c r="DW16" s="10">
        <v>512.74805717133972</v>
      </c>
      <c r="DX16" s="10">
        <v>3138.6488303388805</v>
      </c>
      <c r="DY16" s="10">
        <v>1408.4671489276154</v>
      </c>
      <c r="DZ16" s="10">
        <v>1717.1643501475564</v>
      </c>
      <c r="EA16" s="10">
        <v>1343.6725751758238</v>
      </c>
      <c r="EB16" s="10">
        <v>2300.6671509011467</v>
      </c>
      <c r="EC16" s="10">
        <v>1883.4999396296107</v>
      </c>
      <c r="ED16" s="10">
        <v>548.65491597297955</v>
      </c>
      <c r="EE16" s="10">
        <v>1086.677748652739</v>
      </c>
      <c r="EF16" s="10">
        <v>1393.0527770055335</v>
      </c>
      <c r="EG16" s="10">
        <v>817.37102355163881</v>
      </c>
      <c r="EH16" s="10">
        <v>225.48238562461103</v>
      </c>
      <c r="EI16" s="10">
        <v>2.5657903649390343</v>
      </c>
      <c r="EJ16" s="10">
        <v>1.0132267024129694E-5</v>
      </c>
      <c r="EL16" s="21" t="b">
        <v>1</v>
      </c>
      <c r="EM16" s="21" t="b">
        <v>1</v>
      </c>
      <c r="EN16" s="21" t="b">
        <v>1</v>
      </c>
      <c r="EO16" s="21" t="b">
        <v>1</v>
      </c>
      <c r="EP16" s="21" t="b">
        <v>1</v>
      </c>
      <c r="EQ16" s="21" t="b">
        <v>1</v>
      </c>
      <c r="ER16" s="21" t="b">
        <v>1</v>
      </c>
      <c r="ES16" s="21" t="b">
        <v>1</v>
      </c>
      <c r="ET16" s="21" t="b">
        <v>1</v>
      </c>
      <c r="EU16" s="21" t="b">
        <v>1</v>
      </c>
      <c r="EV16" s="21" t="b">
        <v>1</v>
      </c>
      <c r="EW16" s="21" t="b">
        <v>1</v>
      </c>
      <c r="EX16" s="21" t="b">
        <v>1</v>
      </c>
      <c r="EY16" s="21" t="b">
        <v>1</v>
      </c>
      <c r="EZ16" s="21" t="b">
        <v>1</v>
      </c>
      <c r="FA16" s="21" t="b">
        <v>1</v>
      </c>
      <c r="FC16" s="21" t="b">
        <v>1</v>
      </c>
      <c r="FD16" s="21" t="b">
        <v>0</v>
      </c>
      <c r="FE16" s="21" t="b">
        <v>1</v>
      </c>
      <c r="FF16" s="21" t="b">
        <v>1</v>
      </c>
      <c r="FG16" s="21" t="b">
        <v>1</v>
      </c>
      <c r="FH16" s="21" t="b">
        <v>1</v>
      </c>
      <c r="FI16" s="21" t="b">
        <v>1</v>
      </c>
      <c r="FJ16" s="21" t="b">
        <v>1</v>
      </c>
      <c r="FK16" s="21" t="b">
        <v>1</v>
      </c>
      <c r="FL16" s="21" t="b">
        <v>1</v>
      </c>
      <c r="FM16" s="21" t="b">
        <v>0</v>
      </c>
      <c r="FN16" s="21" t="b">
        <v>1</v>
      </c>
      <c r="FO16" s="21" t="b">
        <v>1</v>
      </c>
      <c r="FP16" s="21" t="b">
        <v>1</v>
      </c>
      <c r="FQ16" s="21" t="b">
        <v>1</v>
      </c>
      <c r="FR16" s="21" t="b">
        <v>1</v>
      </c>
      <c r="FT16" s="21"/>
    </row>
    <row r="17" spans="1:176" x14ac:dyDescent="0.25">
      <c r="A17" t="str">
        <f t="shared" si="0"/>
        <v xml:space="preserve">May 2014 </v>
      </c>
      <c r="B17" s="23">
        <v>41790</v>
      </c>
      <c r="C17" s="17">
        <v>2.766</v>
      </c>
      <c r="D17" s="12">
        <v>11396.180876002849</v>
      </c>
      <c r="E17" s="10"/>
      <c r="F17" s="12">
        <v>-4711.6261228801441</v>
      </c>
      <c r="G17" s="12">
        <v>1707.7370678567697</v>
      </c>
      <c r="H17" s="12">
        <v>908.14527007883362</v>
      </c>
      <c r="I17" s="12">
        <v>1672.3138417337973</v>
      </c>
      <c r="J17" s="12">
        <v>3670.936649726691</v>
      </c>
      <c r="K17" s="12">
        <v>4975.2261252001381</v>
      </c>
      <c r="L17" s="12">
        <v>2394.3988378369909</v>
      </c>
      <c r="M17" s="12">
        <v>-860.09147417760721</v>
      </c>
      <c r="N17" s="12">
        <v>-433.80820015990469</v>
      </c>
      <c r="O17" s="12">
        <v>1067.382071811387</v>
      </c>
      <c r="P17" s="12">
        <v>2057.8878454728356</v>
      </c>
      <c r="Q17" s="12">
        <v>598.40997282211038</v>
      </c>
      <c r="R17" s="12">
        <v>189.63055156373912</v>
      </c>
      <c r="S17" s="12">
        <v>-2738.7928726065111</v>
      </c>
      <c r="T17" s="12">
        <v>1132.3005511709248</v>
      </c>
      <c r="U17" s="12">
        <v>420.13914368726751</v>
      </c>
      <c r="V17" s="20"/>
      <c r="W17" s="12">
        <v>2713.5514623495051</v>
      </c>
      <c r="X17" s="12">
        <v>1047.8011923795752</v>
      </c>
      <c r="Y17" s="12">
        <v>497.76039990150667</v>
      </c>
      <c r="Z17" s="12">
        <v>-1033.6758678572241</v>
      </c>
      <c r="AA17" s="12">
        <v>-215.579272992277</v>
      </c>
      <c r="AB17" s="12">
        <v>-159.69974980340101</v>
      </c>
      <c r="AC17" s="12">
        <v>-129.95565577209706</v>
      </c>
      <c r="AD17" s="12">
        <v>-1437.0896056140455</v>
      </c>
      <c r="AE17" s="12">
        <v>-1087.9139916924714</v>
      </c>
      <c r="AF17" s="12">
        <v>-49.896365486918214</v>
      </c>
      <c r="AG17" s="12">
        <v>75.749569048198779</v>
      </c>
      <c r="AH17" s="12">
        <v>-928.6261225642661</v>
      </c>
      <c r="AI17" s="12">
        <v>183.03164201322355</v>
      </c>
      <c r="AJ17" s="12">
        <v>-30.594337127622968</v>
      </c>
      <c r="AK17" s="12">
        <v>253.97483240415309</v>
      </c>
      <c r="AL17" s="12">
        <v>10.70093367523304</v>
      </c>
      <c r="AM17" s="3"/>
      <c r="AN17" s="13">
        <v>4.6798522727272723E-2</v>
      </c>
      <c r="AO17" s="13">
        <v>4.8503068181818189E-2</v>
      </c>
      <c r="AP17" s="13">
        <v>4.9866704545454547E-2</v>
      </c>
      <c r="AQ17" s="13">
        <v>5.0662159090909084E-2</v>
      </c>
      <c r="AR17" s="13">
        <v>5.0292840909090912E-2</v>
      </c>
      <c r="AS17" s="13">
        <v>4.9525795454545454E-2</v>
      </c>
      <c r="AT17" s="13">
        <v>5.1158191909090898E-2</v>
      </c>
      <c r="AU17" s="13">
        <v>5.2790588363636343E-2</v>
      </c>
      <c r="AV17" s="13">
        <v>5.4422984818181787E-2</v>
      </c>
      <c r="AW17" s="13">
        <v>5.6055381272727231E-2</v>
      </c>
      <c r="AX17" s="13">
        <v>5.7687777727272675E-2</v>
      </c>
      <c r="AY17" s="13">
        <v>5.9320174181818119E-2</v>
      </c>
      <c r="AZ17" s="13">
        <v>6.0952570636363564E-2</v>
      </c>
      <c r="BA17" s="13">
        <v>6.2584967090909008E-2</v>
      </c>
      <c r="BB17" s="13">
        <v>6.632884220909091E-2</v>
      </c>
      <c r="BC17" s="13">
        <v>8.0560250000000222E-2</v>
      </c>
      <c r="BE17" s="13">
        <v>3.5099417225198182E-3</v>
      </c>
      <c r="BF17" s="13">
        <v>4.109941722519818E-3</v>
      </c>
      <c r="BG17" s="13">
        <v>4.7099417225198179E-3</v>
      </c>
      <c r="BH17" s="13">
        <v>5.7099417225198179E-3</v>
      </c>
      <c r="BI17" s="13">
        <v>7.9599417225198182E-3</v>
      </c>
      <c r="BJ17" s="13">
        <v>1.3709941722519816E-2</v>
      </c>
      <c r="BK17" s="13">
        <v>2.7006511393455224E-2</v>
      </c>
      <c r="BL17" s="13">
        <v>2.7394073106238093E-2</v>
      </c>
      <c r="BM17" s="13">
        <v>2.8990225202874642E-2</v>
      </c>
      <c r="BN17" s="13">
        <v>3.0766024461696073E-2</v>
      </c>
      <c r="BO17" s="13">
        <v>3.1753921214640934E-2</v>
      </c>
      <c r="BP17" s="13">
        <v>3.5000171588619011E-2</v>
      </c>
      <c r="BQ17" s="13">
        <v>3.7961058903555056E-2</v>
      </c>
      <c r="BR17" s="13">
        <v>4.0618600926801474E-2</v>
      </c>
      <c r="BS17" s="13">
        <v>4.6115361683157642E-2</v>
      </c>
      <c r="BT17" s="13">
        <v>5.495438224778737E-2</v>
      </c>
      <c r="BU17" s="6"/>
      <c r="BV17" s="10">
        <v>5587.8163437264238</v>
      </c>
      <c r="BW17" s="10">
        <v>3445.9833591163779</v>
      </c>
      <c r="BX17" s="10">
        <v>1914.6162907339019</v>
      </c>
      <c r="BY17" s="10">
        <v>4343.9372276708382</v>
      </c>
      <c r="BZ17" s="10">
        <v>6301.0593710418016</v>
      </c>
      <c r="CA17" s="10">
        <v>8231.821319280567</v>
      </c>
      <c r="CB17" s="10">
        <v>5082.8893650039117</v>
      </c>
      <c r="CC17" s="10">
        <v>3161.3014113702147</v>
      </c>
      <c r="CD17" s="10">
        <v>1603.662798688991</v>
      </c>
      <c r="CE17" s="10">
        <v>1151.0232001358836</v>
      </c>
      <c r="CF17" s="10">
        <v>2547.1637402712176</v>
      </c>
      <c r="CG17" s="10">
        <v>808.86640299965916</v>
      </c>
      <c r="CH17" s="10">
        <v>628.15781507462134</v>
      </c>
      <c r="CI17" s="10">
        <v>864.18066381670678</v>
      </c>
      <c r="CJ17" s="10">
        <v>2616.1502445006431</v>
      </c>
      <c r="CK17" s="10">
        <v>420.13920756914308</v>
      </c>
      <c r="CL17" s="10"/>
      <c r="CM17" s="10">
        <v>10299.442466606568</v>
      </c>
      <c r="CN17" s="10">
        <v>1738.2462912596081</v>
      </c>
      <c r="CO17" s="10">
        <v>1006.4710206550683</v>
      </c>
      <c r="CP17" s="10">
        <v>2671.6233859370409</v>
      </c>
      <c r="CQ17" s="10">
        <v>2630.1227213151105</v>
      </c>
      <c r="CR17" s="10">
        <v>3256.5951940804289</v>
      </c>
      <c r="CS17" s="10">
        <v>2688.4905271669209</v>
      </c>
      <c r="CT17" s="10">
        <v>4021.3928855478221</v>
      </c>
      <c r="CU17" s="10">
        <v>2037.4709988488955</v>
      </c>
      <c r="CV17" s="10">
        <v>83.641128324496492</v>
      </c>
      <c r="CW17" s="10">
        <v>489.27589479838224</v>
      </c>
      <c r="CX17" s="10">
        <v>210.45643017754884</v>
      </c>
      <c r="CY17" s="10">
        <v>438.52726351088222</v>
      </c>
      <c r="CZ17" s="10">
        <v>3602.9735364232179</v>
      </c>
      <c r="DA17" s="10">
        <v>1483.8496933297183</v>
      </c>
      <c r="DB17" s="10">
        <v>6.3881875564279235E-5</v>
      </c>
      <c r="DC17" s="10"/>
      <c r="DD17" s="10">
        <v>6879.0614643705931</v>
      </c>
      <c r="DE17" s="10">
        <v>1908.1331438000623</v>
      </c>
      <c r="DF17" s="10">
        <v>1257.8064514172588</v>
      </c>
      <c r="DG17" s="10">
        <v>1708.7086704299791</v>
      </c>
      <c r="DH17" s="10">
        <v>1164.1624450209413</v>
      </c>
      <c r="DI17" s="10">
        <v>1631.0751285986721</v>
      </c>
      <c r="DJ17" s="10">
        <v>1188.4218844115485</v>
      </c>
      <c r="DK17" s="10">
        <v>805.73254199494136</v>
      </c>
      <c r="DL17" s="10">
        <v>764.11214203815894</v>
      </c>
      <c r="DM17" s="10">
        <v>486.32151821943552</v>
      </c>
      <c r="DN17" s="10">
        <v>1162.4253708784224</v>
      </c>
      <c r="DO17" s="10">
        <v>464.4424609777239</v>
      </c>
      <c r="DP17" s="10">
        <v>1035.9185782630409</v>
      </c>
      <c r="DQ17" s="10">
        <v>154.01177232437527</v>
      </c>
      <c r="DR17" s="10">
        <v>256.32906986340572</v>
      </c>
      <c r="DS17" s="10">
        <v>10.700944656983392</v>
      </c>
      <c r="DT17" s="10"/>
      <c r="DU17" s="10">
        <v>4165.5100020210875</v>
      </c>
      <c r="DV17" s="10">
        <v>860.33195142048692</v>
      </c>
      <c r="DW17" s="10">
        <v>760.0460515157522</v>
      </c>
      <c r="DX17" s="10">
        <v>2742.3845382872032</v>
      </c>
      <c r="DY17" s="10">
        <v>1379.7417180132181</v>
      </c>
      <c r="DZ17" s="10">
        <v>1790.7748784020732</v>
      </c>
      <c r="EA17" s="10">
        <v>1318.3775401836456</v>
      </c>
      <c r="EB17" s="10">
        <v>2242.8221476089871</v>
      </c>
      <c r="EC17" s="10">
        <v>1852.0261337306304</v>
      </c>
      <c r="ED17" s="10">
        <v>536.21788370635375</v>
      </c>
      <c r="EE17" s="10">
        <v>1086.6758018302237</v>
      </c>
      <c r="EF17" s="10">
        <v>1393.0685835419899</v>
      </c>
      <c r="EG17" s="10">
        <v>852.88693624981727</v>
      </c>
      <c r="EH17" s="10">
        <v>184.60610945199824</v>
      </c>
      <c r="EI17" s="10">
        <v>2.3542374592526341</v>
      </c>
      <c r="EJ17" s="10">
        <v>1.0981750350951014E-5</v>
      </c>
      <c r="EL17" s="21" t="b">
        <v>1</v>
      </c>
      <c r="EM17" s="21" t="b">
        <v>1</v>
      </c>
      <c r="EN17" s="21" t="b">
        <v>1</v>
      </c>
      <c r="EO17" s="21" t="b">
        <v>1</v>
      </c>
      <c r="EP17" s="21" t="b">
        <v>1</v>
      </c>
      <c r="EQ17" s="21" t="b">
        <v>1</v>
      </c>
      <c r="ER17" s="21" t="b">
        <v>1</v>
      </c>
      <c r="ES17" s="21" t="b">
        <v>1</v>
      </c>
      <c r="ET17" s="21" t="b">
        <v>1</v>
      </c>
      <c r="EU17" s="21" t="b">
        <v>1</v>
      </c>
      <c r="EV17" s="21" t="b">
        <v>1</v>
      </c>
      <c r="EW17" s="21" t="b">
        <v>1</v>
      </c>
      <c r="EX17" s="21" t="b">
        <v>1</v>
      </c>
      <c r="EY17" s="21" t="b">
        <v>1</v>
      </c>
      <c r="EZ17" s="21" t="b">
        <v>1</v>
      </c>
      <c r="FA17" s="21" t="b">
        <v>1</v>
      </c>
      <c r="FC17" s="21" t="b">
        <v>1</v>
      </c>
      <c r="FD17" s="21" t="b">
        <v>1</v>
      </c>
      <c r="FE17" s="21" t="b">
        <v>1</v>
      </c>
      <c r="FF17" s="21" t="b">
        <v>1</v>
      </c>
      <c r="FG17" s="21" t="b">
        <v>1</v>
      </c>
      <c r="FH17" s="21" t="b">
        <v>1</v>
      </c>
      <c r="FI17" s="21" t="b">
        <v>1</v>
      </c>
      <c r="FJ17" s="21" t="b">
        <v>1</v>
      </c>
      <c r="FK17" s="21" t="b">
        <v>1</v>
      </c>
      <c r="FL17" s="21" t="b">
        <v>1</v>
      </c>
      <c r="FM17" s="21" t="b">
        <v>0</v>
      </c>
      <c r="FN17" s="21" t="b">
        <v>1</v>
      </c>
      <c r="FO17" s="21" t="b">
        <v>1</v>
      </c>
      <c r="FP17" s="21" t="b">
        <v>1</v>
      </c>
      <c r="FQ17" s="21" t="b">
        <v>1</v>
      </c>
      <c r="FR17" s="21" t="b">
        <v>1</v>
      </c>
      <c r="FT17" s="21"/>
    </row>
    <row r="18" spans="1:176" x14ac:dyDescent="0.25">
      <c r="A18" t="str">
        <f xml:space="preserve"> TEXT(B18,"mmm yyy ")</f>
        <v xml:space="preserve">Jun 2014 </v>
      </c>
      <c r="B18" s="23">
        <v>41820</v>
      </c>
      <c r="C18" s="17">
        <v>2.7959999999999998</v>
      </c>
      <c r="D18" s="12">
        <v>11472.158392818688</v>
      </c>
      <c r="E18" s="10"/>
      <c r="F18" s="12">
        <v>-4812.6531605456548</v>
      </c>
      <c r="G18" s="12">
        <v>224.57191799676434</v>
      </c>
      <c r="H18" s="12">
        <v>590.5182216310568</v>
      </c>
      <c r="I18" s="12">
        <v>1445.3874151976288</v>
      </c>
      <c r="J18" s="12">
        <v>4198.3072592119124</v>
      </c>
      <c r="K18" s="12">
        <v>5163.5582998492009</v>
      </c>
      <c r="L18" s="12">
        <v>2494.6485236584494</v>
      </c>
      <c r="M18" s="12">
        <v>-808.56195760306389</v>
      </c>
      <c r="N18" s="12">
        <v>-239.77756542999859</v>
      </c>
      <c r="O18" s="12">
        <v>1106.8974357994873</v>
      </c>
      <c r="P18" s="12">
        <v>2765.5886122848856</v>
      </c>
      <c r="Q18" s="12">
        <v>582.57494104635748</v>
      </c>
      <c r="R18" s="12">
        <v>217.31457953565251</v>
      </c>
      <c r="S18" s="12">
        <v>-2755.9476981385856</v>
      </c>
      <c r="T18" s="12">
        <v>1121.9301450302987</v>
      </c>
      <c r="U18" s="12">
        <v>409.89341600063398</v>
      </c>
      <c r="V18" s="20"/>
      <c r="W18" s="12">
        <v>2705.8690282319549</v>
      </c>
      <c r="X18" s="12">
        <v>930.57225369406387</v>
      </c>
      <c r="Y18" s="12">
        <v>-97.387326229716791</v>
      </c>
      <c r="Z18" s="12">
        <v>-267.78526209732087</v>
      </c>
      <c r="AA18" s="12">
        <v>-285.40993312979475</v>
      </c>
      <c r="AB18" s="12">
        <v>-80.452354614861576</v>
      </c>
      <c r="AC18" s="12">
        <v>-119.40904327146865</v>
      </c>
      <c r="AD18" s="12">
        <v>-1491.712604010487</v>
      </c>
      <c r="AE18" s="12">
        <v>-1187.7310992832004</v>
      </c>
      <c r="AF18" s="12">
        <v>-63.97415954684697</v>
      </c>
      <c r="AG18" s="12">
        <v>82.875405731078331</v>
      </c>
      <c r="AH18" s="12">
        <v>-454.37615241859743</v>
      </c>
      <c r="AI18" s="12">
        <v>154.12426148423344</v>
      </c>
      <c r="AJ18" s="12">
        <v>46.548313883229881</v>
      </c>
      <c r="AK18" s="12">
        <v>258.20660005393989</v>
      </c>
      <c r="AL18" s="12">
        <v>10.388306430108761</v>
      </c>
      <c r="AM18" s="3"/>
      <c r="AN18" s="13">
        <f>4.62303409090909%</f>
        <v>4.6230340909090895E-2</v>
      </c>
      <c r="AO18" s="13">
        <v>4.645761363636363E-2</v>
      </c>
      <c r="AP18" s="13">
        <v>4.7593977272727274E-2</v>
      </c>
      <c r="AQ18" s="13">
        <v>4.8389431818181811E-2</v>
      </c>
      <c r="AR18" s="13">
        <v>4.8929204545454547E-2</v>
      </c>
      <c r="AS18" s="13">
        <v>4.9525795454545454E-2</v>
      </c>
      <c r="AT18" s="13">
        <v>5.1034339909090919E-2</v>
      </c>
      <c r="AU18" s="13">
        <v>5.2542884363636383E-2</v>
      </c>
      <c r="AV18" s="13">
        <v>5.4051428818181847E-2</v>
      </c>
      <c r="AW18" s="13">
        <v>5.5559973272727312E-2</v>
      </c>
      <c r="AX18" s="13">
        <v>5.7068517727272776E-2</v>
      </c>
      <c r="AY18" s="13">
        <v>5.857706218181824E-2</v>
      </c>
      <c r="AZ18" s="13">
        <v>6.0085606636363705E-2</v>
      </c>
      <c r="BA18" s="13">
        <v>6.1594151090909169E-2</v>
      </c>
      <c r="BB18" s="13">
        <v>6.5052679109090905E-2</v>
      </c>
      <c r="BC18" s="13">
        <v>7.9105439999999971E-2</v>
      </c>
      <c r="BE18" s="13">
        <v>3.5058774288260334E-3</v>
      </c>
      <c r="BF18" s="13">
        <v>4.1058774288260337E-3</v>
      </c>
      <c r="BG18" s="13">
        <v>4.7058774288260335E-3</v>
      </c>
      <c r="BH18" s="13">
        <v>5.7058774288260335E-3</v>
      </c>
      <c r="BI18" s="13">
        <v>7.9558774288260338E-3</v>
      </c>
      <c r="BJ18" s="13">
        <v>1.3705877428826032E-2</v>
      </c>
      <c r="BK18" s="13">
        <v>2.6048655531865084E-2</v>
      </c>
      <c r="BL18" s="13">
        <v>2.6755311893922329E-2</v>
      </c>
      <c r="BM18" s="13">
        <v>2.8457471070459706E-2</v>
      </c>
      <c r="BN18" s="13">
        <v>3.0232785438369936E-2</v>
      </c>
      <c r="BO18" s="13">
        <v>3.298137767626752E-2</v>
      </c>
      <c r="BP18" s="13">
        <v>3.5469147223405439E-2</v>
      </c>
      <c r="BQ18" s="13">
        <v>3.7695694362254617E-2</v>
      </c>
      <c r="BR18" s="13">
        <v>3.9542250042534199E-2</v>
      </c>
      <c r="BS18" s="13">
        <v>4.4986929170313508E-2</v>
      </c>
      <c r="BT18" s="13">
        <v>5.3407819596409167E-2</v>
      </c>
      <c r="BU18" s="6"/>
      <c r="BV18" s="10">
        <v>7025.8458862569123</v>
      </c>
      <c r="BW18" s="10">
        <v>2253.4713064495591</v>
      </c>
      <c r="BX18" s="10">
        <v>1653.5332517258521</v>
      </c>
      <c r="BY18" s="10">
        <v>4278.4518497827939</v>
      </c>
      <c r="BZ18" s="10">
        <v>6564.3088713331235</v>
      </c>
      <c r="CA18" s="10">
        <v>8504.0938009505589</v>
      </c>
      <c r="CB18" s="10">
        <v>5250.5038527308343</v>
      </c>
      <c r="CC18" s="10">
        <v>3472.2685811846536</v>
      </c>
      <c r="CD18" s="10">
        <v>1678.4217386812859</v>
      </c>
      <c r="CE18" s="10">
        <v>1190.7690669416966</v>
      </c>
      <c r="CF18" s="10">
        <v>3255.0340459816243</v>
      </c>
      <c r="CG18" s="10">
        <v>787.73320178892959</v>
      </c>
      <c r="CH18" s="10">
        <v>656.04159027822459</v>
      </c>
      <c r="CI18" s="10">
        <v>891.55209817647062</v>
      </c>
      <c r="CJ18" s="10">
        <v>2624.7424747357272</v>
      </c>
      <c r="CK18" s="10">
        <v>409.89347877366453</v>
      </c>
      <c r="CL18" s="10"/>
      <c r="CM18" s="10">
        <v>11838.499046802568</v>
      </c>
      <c r="CN18" s="10">
        <v>2028.8993884527947</v>
      </c>
      <c r="CO18" s="10">
        <v>1063.0150300947953</v>
      </c>
      <c r="CP18" s="10">
        <v>2833.0644345851651</v>
      </c>
      <c r="CQ18" s="10">
        <v>2366.0016121212107</v>
      </c>
      <c r="CR18" s="10">
        <v>3340.535501101358</v>
      </c>
      <c r="CS18" s="10">
        <v>2755.8553290723848</v>
      </c>
      <c r="CT18" s="10">
        <v>4280.8305387877172</v>
      </c>
      <c r="CU18" s="10">
        <v>1918.1993041112844</v>
      </c>
      <c r="CV18" s="10">
        <v>83.871631142209296</v>
      </c>
      <c r="CW18" s="10">
        <v>489.44543369673886</v>
      </c>
      <c r="CX18" s="10">
        <v>205.15826074257214</v>
      </c>
      <c r="CY18" s="10">
        <v>438.72701074257208</v>
      </c>
      <c r="CZ18" s="10">
        <v>3647.4997963150563</v>
      </c>
      <c r="DA18" s="10">
        <v>1502.8123297054285</v>
      </c>
      <c r="DB18" s="10">
        <v>6.2773030551996253E-5</v>
      </c>
      <c r="DC18" s="10"/>
      <c r="DD18" s="10">
        <v>6831.4638111414133</v>
      </c>
      <c r="DE18" s="10">
        <v>2093.9056770661177</v>
      </c>
      <c r="DF18" s="10">
        <v>1609.879257793534</v>
      </c>
      <c r="DG18" s="10">
        <v>1670.7092173311182</v>
      </c>
      <c r="DH18" s="10">
        <v>1122.4405518681306</v>
      </c>
      <c r="DI18" s="10">
        <v>1681.1377210929725</v>
      </c>
      <c r="DJ18" s="10">
        <v>1201.8015826543356</v>
      </c>
      <c r="DK18" s="10">
        <v>937.84120705525982</v>
      </c>
      <c r="DL18" s="10">
        <v>784.67358859414014</v>
      </c>
      <c r="DM18" s="10">
        <v>462.23219898581465</v>
      </c>
      <c r="DN18" s="10">
        <v>1182.6887006202141</v>
      </c>
      <c r="DO18" s="10">
        <v>925.52591749789735</v>
      </c>
      <c r="DP18" s="10">
        <v>1002.4757243411138</v>
      </c>
      <c r="DQ18" s="10">
        <v>153.5249766308051</v>
      </c>
      <c r="DR18" s="10">
        <v>260.43009698431291</v>
      </c>
      <c r="DS18" s="10">
        <v>10.388317206349242</v>
      </c>
      <c r="DT18" s="10"/>
      <c r="DU18" s="10">
        <v>4125.5947829094584</v>
      </c>
      <c r="DV18" s="10">
        <v>1163.3334233720539</v>
      </c>
      <c r="DW18" s="10">
        <v>1707.2665840232507</v>
      </c>
      <c r="DX18" s="10">
        <v>1938.4944794284393</v>
      </c>
      <c r="DY18" s="10">
        <v>1407.8504849979254</v>
      </c>
      <c r="DZ18" s="10">
        <v>1761.5900757078341</v>
      </c>
      <c r="EA18" s="10">
        <v>1321.2106259258042</v>
      </c>
      <c r="EB18" s="10">
        <v>2429.5538110657467</v>
      </c>
      <c r="EC18" s="10">
        <v>1972.4046878773406</v>
      </c>
      <c r="ED18" s="10">
        <v>526.20635853266162</v>
      </c>
      <c r="EE18" s="10">
        <v>1099.8132948891357</v>
      </c>
      <c r="EF18" s="10">
        <v>1379.9020699164946</v>
      </c>
      <c r="EG18" s="10">
        <v>848.3514628568804</v>
      </c>
      <c r="EH18" s="10">
        <v>106.97666274757522</v>
      </c>
      <c r="EI18" s="10">
        <v>2.2234969303729919</v>
      </c>
      <c r="EJ18" s="10">
        <v>1.0776240480691348E-5</v>
      </c>
      <c r="EL18" s="21" t="b">
        <v>0</v>
      </c>
      <c r="EM18" s="21" t="b">
        <v>1</v>
      </c>
      <c r="EN18" s="21" t="b">
        <v>1</v>
      </c>
      <c r="EO18" s="21" t="b">
        <v>1</v>
      </c>
      <c r="EP18" s="21" t="b">
        <v>1</v>
      </c>
      <c r="EQ18" s="21" t="b">
        <v>1</v>
      </c>
      <c r="ER18" s="21" t="b">
        <v>1</v>
      </c>
      <c r="ES18" s="21" t="b">
        <v>1</v>
      </c>
      <c r="ET18" s="21" t="b">
        <v>1</v>
      </c>
      <c r="EU18" s="21" t="b">
        <v>1</v>
      </c>
      <c r="EV18" s="21" t="b">
        <v>1</v>
      </c>
      <c r="EW18" s="21" t="b">
        <v>1</v>
      </c>
      <c r="EX18" s="21" t="b">
        <v>1</v>
      </c>
      <c r="EY18" s="21" t="b">
        <v>1</v>
      </c>
      <c r="EZ18" s="21" t="b">
        <v>1</v>
      </c>
      <c r="FA18" s="21" t="b">
        <v>1</v>
      </c>
      <c r="FC18" s="21" t="b">
        <v>1</v>
      </c>
      <c r="FD18" s="21" t="b">
        <v>1</v>
      </c>
      <c r="FE18" s="21" t="b">
        <v>1</v>
      </c>
      <c r="FF18" s="21" t="b">
        <v>1</v>
      </c>
      <c r="FG18" s="21" t="b">
        <v>1</v>
      </c>
      <c r="FH18" s="21" t="b">
        <v>1</v>
      </c>
      <c r="FI18" s="21" t="b">
        <v>1</v>
      </c>
      <c r="FJ18" s="21" t="b">
        <v>1</v>
      </c>
      <c r="FK18" s="21" t="b">
        <v>1</v>
      </c>
      <c r="FL18" s="21" t="b">
        <v>1</v>
      </c>
      <c r="FM18" s="21" t="b">
        <v>0</v>
      </c>
      <c r="FN18" s="21" t="b">
        <v>1</v>
      </c>
      <c r="FO18" s="21" t="b">
        <v>1</v>
      </c>
      <c r="FP18" s="21" t="b">
        <v>1</v>
      </c>
      <c r="FQ18" s="21" t="b">
        <v>1</v>
      </c>
      <c r="FR18" s="21" t="b">
        <v>1</v>
      </c>
      <c r="FT18" s="21"/>
    </row>
    <row r="19" spans="1:176" x14ac:dyDescent="0.25">
      <c r="A19" t="str">
        <f t="shared" si="0"/>
        <v xml:space="preserve">Jul 2014 </v>
      </c>
      <c r="B19" s="23">
        <v>41851</v>
      </c>
      <c r="C19" s="17">
        <v>2.7959999999999998</v>
      </c>
      <c r="D19" s="12">
        <v>11357.340024422203</v>
      </c>
      <c r="E19" s="10"/>
      <c r="F19" s="12">
        <v>-6427.0317013308195</v>
      </c>
      <c r="G19" s="12">
        <v>39.599016179759246</v>
      </c>
      <c r="H19" s="12">
        <v>403.57701747428996</v>
      </c>
      <c r="I19" s="12">
        <v>2017.287110806144</v>
      </c>
      <c r="J19" s="12">
        <v>4402.2296783656147</v>
      </c>
      <c r="K19" s="12">
        <v>4975.0397598958734</v>
      </c>
      <c r="L19" s="12">
        <v>2281.8441463895106</v>
      </c>
      <c r="M19" s="12">
        <v>-1134.7579299631836</v>
      </c>
      <c r="N19" s="12">
        <v>-296.75509338802442</v>
      </c>
      <c r="O19" s="12">
        <v>1117.2144179896598</v>
      </c>
      <c r="P19" s="12">
        <v>2395.756208404267</v>
      </c>
      <c r="Q19" s="12">
        <v>588.50711982122152</v>
      </c>
      <c r="R19" s="12">
        <v>222.75390347170389</v>
      </c>
      <c r="S19" s="12">
        <v>-3094.8972557491679</v>
      </c>
      <c r="T19" s="12">
        <v>1101.3641235591729</v>
      </c>
      <c r="U19" s="12">
        <v>405.22929560274781</v>
      </c>
      <c r="V19" s="20"/>
      <c r="W19" s="12">
        <v>3314.7742213203092</v>
      </c>
      <c r="X19" s="12">
        <v>54.00804357214065</v>
      </c>
      <c r="Y19" s="12">
        <v>-481.3996961346545</v>
      </c>
      <c r="Z19" s="12">
        <v>366.48544286922146</v>
      </c>
      <c r="AA19" s="12">
        <v>-318.69398311332799</v>
      </c>
      <c r="AB19" s="12">
        <v>138.81899570484052</v>
      </c>
      <c r="AC19" s="12">
        <v>-107.63062753099653</v>
      </c>
      <c r="AD19" s="12">
        <v>-1601.968807945552</v>
      </c>
      <c r="AE19" s="12">
        <v>-1145.0568794519224</v>
      </c>
      <c r="AF19" s="12">
        <v>-70.111376617549212</v>
      </c>
      <c r="AG19" s="12">
        <v>95.549144739124046</v>
      </c>
      <c r="AH19" s="12">
        <v>-211.98033383540479</v>
      </c>
      <c r="AI19" s="12">
        <v>137.28122425280534</v>
      </c>
      <c r="AJ19" s="12">
        <v>-56.325992112312434</v>
      </c>
      <c r="AK19" s="12">
        <v>258.16287170312739</v>
      </c>
      <c r="AL19" s="12">
        <v>9.9609570507692222</v>
      </c>
      <c r="AM19" s="3"/>
      <c r="AN19" s="13">
        <v>4.35378531073446E-2</v>
      </c>
      <c r="AO19" s="13">
        <v>4.3989830508474576E-2</v>
      </c>
      <c r="AP19" s="13">
        <v>4.5119774011299435E-2</v>
      </c>
      <c r="AQ19" s="13">
        <v>4.5910734463276835E-2</v>
      </c>
      <c r="AR19" s="13">
        <v>4.6447457627118639E-2</v>
      </c>
      <c r="AS19" s="13">
        <v>4.7040677966101695E-2</v>
      </c>
      <c r="AT19" s="13">
        <v>4.8498722419491554E-2</v>
      </c>
      <c r="AU19" s="13">
        <v>4.9956766872881413E-2</v>
      </c>
      <c r="AV19" s="13">
        <v>5.1414811326271272E-2</v>
      </c>
      <c r="AW19" s="13">
        <v>5.2872855779661131E-2</v>
      </c>
      <c r="AX19" s="13">
        <v>5.433090023305099E-2</v>
      </c>
      <c r="AY19" s="13">
        <v>5.5788944686440849E-2</v>
      </c>
      <c r="AZ19" s="13">
        <v>5.7246989139830708E-2</v>
      </c>
      <c r="BA19" s="13">
        <v>5.8705033593220567E-2</v>
      </c>
      <c r="BB19" s="13">
        <v>6.2463525109322127E-2</v>
      </c>
      <c r="BC19" s="13">
        <v>7.6821290000000042E-2</v>
      </c>
      <c r="BE19" s="13">
        <v>5.7026626677968151E-3</v>
      </c>
      <c r="BF19" s="13">
        <v>6.5026626677968154E-3</v>
      </c>
      <c r="BG19" s="13">
        <v>6.5026626677968154E-3</v>
      </c>
      <c r="BH19" s="13">
        <v>6.5026626677968154E-3</v>
      </c>
      <c r="BI19" s="13">
        <v>8.2026626677968138E-3</v>
      </c>
      <c r="BJ19" s="13">
        <v>1.3702662667796814E-2</v>
      </c>
      <c r="BK19" s="13">
        <v>2.7219431721825504E-2</v>
      </c>
      <c r="BL19" s="13">
        <v>2.8565674874422298E-2</v>
      </c>
      <c r="BM19" s="13">
        <v>3.0482704358429702E-2</v>
      </c>
      <c r="BN19" s="13">
        <v>3.2686879772271693E-2</v>
      </c>
      <c r="BO19" s="13">
        <v>3.4728554298161018E-2</v>
      </c>
      <c r="BP19" s="13">
        <v>3.7834486033278436E-2</v>
      </c>
      <c r="BQ19" s="13">
        <v>4.033045508105304E-2</v>
      </c>
      <c r="BR19" s="13">
        <v>4.2497405902277796E-2</v>
      </c>
      <c r="BS19" s="13">
        <v>4.7572495960814143E-2</v>
      </c>
      <c r="BT19" s="13">
        <v>5.4859168914689338E-2</v>
      </c>
      <c r="BU19" s="6"/>
      <c r="BV19" s="10">
        <v>6018.9544291264756</v>
      </c>
      <c r="BW19" s="10">
        <v>2028.9215209527601</v>
      </c>
      <c r="BX19" s="10">
        <v>2134.4527226797331</v>
      </c>
      <c r="BY19" s="10">
        <v>4316.2920279890886</v>
      </c>
      <c r="BZ19" s="10">
        <v>6775.0804097670389</v>
      </c>
      <c r="CA19" s="10">
        <v>8511.2297700744712</v>
      </c>
      <c r="CB19" s="10">
        <v>5173.5722182327654</v>
      </c>
      <c r="CC19" s="10">
        <v>3378.2548847925918</v>
      </c>
      <c r="CD19" s="10">
        <v>1671.5537391847772</v>
      </c>
      <c r="CE19" s="10">
        <v>1200.147565013179</v>
      </c>
      <c r="CF19" s="10">
        <v>2881.6252418799077</v>
      </c>
      <c r="CG19" s="10">
        <v>792.72946060936226</v>
      </c>
      <c r="CH19" s="10">
        <v>660.54499425984454</v>
      </c>
      <c r="CI19" s="10">
        <v>610.16038991533992</v>
      </c>
      <c r="CJ19" s="10">
        <v>2629.4956260681897</v>
      </c>
      <c r="CK19" s="10">
        <v>405.22935610174011</v>
      </c>
      <c r="CL19" s="10"/>
      <c r="CM19" s="10">
        <v>12445.986130457295</v>
      </c>
      <c r="CN19" s="10">
        <v>1989.3225047730009</v>
      </c>
      <c r="CO19" s="10">
        <v>1730.8757052054432</v>
      </c>
      <c r="CP19" s="10">
        <v>2299.0049171829446</v>
      </c>
      <c r="CQ19" s="10">
        <v>2372.8507314014246</v>
      </c>
      <c r="CR19" s="10">
        <v>3536.1900101785982</v>
      </c>
      <c r="CS19" s="10">
        <v>2891.7280718432548</v>
      </c>
      <c r="CT19" s="10">
        <v>4513.0128147557753</v>
      </c>
      <c r="CU19" s="10">
        <v>1968.3088325728015</v>
      </c>
      <c r="CV19" s="10">
        <v>82.933147023519126</v>
      </c>
      <c r="CW19" s="10">
        <v>485.86903347564078</v>
      </c>
      <c r="CX19" s="10">
        <v>204.22234078814068</v>
      </c>
      <c r="CY19" s="10">
        <v>437.79109078814065</v>
      </c>
      <c r="CZ19" s="10">
        <v>3705.0576456645076</v>
      </c>
      <c r="DA19" s="10">
        <v>1528.1315025090169</v>
      </c>
      <c r="DB19" s="10">
        <v>6.0498992286188902E-5</v>
      </c>
      <c r="DC19" s="10"/>
      <c r="DD19" s="10">
        <v>7532.1435282261373</v>
      </c>
      <c r="DE19" s="10">
        <v>2259.9683384735772</v>
      </c>
      <c r="DF19" s="10">
        <v>1221.163045372128</v>
      </c>
      <c r="DG19" s="10">
        <v>1547.4716974673436</v>
      </c>
      <c r="DH19" s="10">
        <v>1208.5520045894446</v>
      </c>
      <c r="DI19" s="10">
        <v>1620.1102224221663</v>
      </c>
      <c r="DJ19" s="10">
        <v>1211.1922788544332</v>
      </c>
      <c r="DK19" s="10">
        <v>966.3265908513016</v>
      </c>
      <c r="DL19" s="10">
        <v>768.12030754316345</v>
      </c>
      <c r="DM19" s="10">
        <v>447.89265226710734</v>
      </c>
      <c r="DN19" s="10">
        <v>1194.2452004475817</v>
      </c>
      <c r="DO19" s="10">
        <v>1162.6877697045779</v>
      </c>
      <c r="DP19" s="10">
        <v>984.8027741512301</v>
      </c>
      <c r="DQ19" s="10">
        <v>101.45933137790919</v>
      </c>
      <c r="DR19" s="10">
        <v>260.24053507951521</v>
      </c>
      <c r="DS19" s="10">
        <v>9.9609674723860824</v>
      </c>
      <c r="DT19" s="10"/>
      <c r="DU19" s="10">
        <v>4217.3693069058272</v>
      </c>
      <c r="DV19" s="10">
        <v>2205.9602949014366</v>
      </c>
      <c r="DW19" s="10">
        <v>1702.5627415067825</v>
      </c>
      <c r="DX19" s="10">
        <v>1180.9862545981221</v>
      </c>
      <c r="DY19" s="10">
        <v>1527.2459877027725</v>
      </c>
      <c r="DZ19" s="10">
        <v>1481.2912267173258</v>
      </c>
      <c r="EA19" s="10">
        <v>1318.8229063854296</v>
      </c>
      <c r="EB19" s="10">
        <v>2568.295398796854</v>
      </c>
      <c r="EC19" s="10">
        <v>1913.177186995086</v>
      </c>
      <c r="ED19" s="10">
        <v>518.00402888465646</v>
      </c>
      <c r="EE19" s="10">
        <v>1098.6960557084578</v>
      </c>
      <c r="EF19" s="10">
        <v>1374.6681035399827</v>
      </c>
      <c r="EG19" s="10">
        <v>847.52154989842472</v>
      </c>
      <c r="EH19" s="10">
        <v>157.78532349022163</v>
      </c>
      <c r="EI19" s="10">
        <v>2.0776633763878425</v>
      </c>
      <c r="EJ19" s="10">
        <v>1.0421616860923707E-5</v>
      </c>
      <c r="EL19" s="21" t="b">
        <v>1</v>
      </c>
      <c r="EM19" s="21" t="b">
        <v>1</v>
      </c>
      <c r="EN19" s="21" t="b">
        <v>1</v>
      </c>
      <c r="EO19" s="21" t="b">
        <v>1</v>
      </c>
      <c r="EP19" s="21" t="b">
        <v>1</v>
      </c>
      <c r="EQ19" s="21" t="b">
        <v>1</v>
      </c>
      <c r="ER19" s="21" t="b">
        <v>1</v>
      </c>
      <c r="ES19" s="21" t="b">
        <v>1</v>
      </c>
      <c r="ET19" s="21" t="b">
        <v>1</v>
      </c>
      <c r="EU19" s="21" t="b">
        <v>1</v>
      </c>
      <c r="EV19" s="21" t="b">
        <v>1</v>
      </c>
      <c r="EW19" s="21" t="b">
        <v>1</v>
      </c>
      <c r="EX19" s="21" t="b">
        <v>1</v>
      </c>
      <c r="EY19" s="21" t="b">
        <v>1</v>
      </c>
      <c r="EZ19" s="21" t="b">
        <v>1</v>
      </c>
      <c r="FA19" s="21" t="b">
        <v>1</v>
      </c>
      <c r="FC19" s="21" t="b">
        <v>1</v>
      </c>
      <c r="FD19" s="21" t="b">
        <v>1</v>
      </c>
      <c r="FE19" s="21" t="b">
        <v>1</v>
      </c>
      <c r="FF19" s="21" t="b">
        <v>0</v>
      </c>
      <c r="FG19" s="21" t="b">
        <v>1</v>
      </c>
      <c r="FH19" s="21" t="b">
        <v>1</v>
      </c>
      <c r="FI19" s="21" t="b">
        <v>0</v>
      </c>
      <c r="FJ19" s="21" t="b">
        <v>1</v>
      </c>
      <c r="FK19" s="21" t="b">
        <v>1</v>
      </c>
      <c r="FL19" s="21" t="b">
        <v>0</v>
      </c>
      <c r="FM19" s="21" t="b">
        <v>0</v>
      </c>
      <c r="FN19" s="21" t="b">
        <v>1</v>
      </c>
      <c r="FO19" s="21" t="b">
        <v>1</v>
      </c>
      <c r="FP19" s="21" t="b">
        <v>1</v>
      </c>
      <c r="FQ19" s="21" t="b">
        <v>1</v>
      </c>
      <c r="FR19" s="21" t="b">
        <v>1</v>
      </c>
      <c r="FT19" s="21"/>
    </row>
    <row r="20" spans="1:176" x14ac:dyDescent="0.25">
      <c r="A20" t="str">
        <f t="shared" si="0"/>
        <v xml:space="preserve">Sep 2014 </v>
      </c>
      <c r="B20" s="2">
        <v>41912</v>
      </c>
      <c r="C20" s="11">
        <v>2.859</v>
      </c>
      <c r="D20" s="18">
        <v>12007.678368997655</v>
      </c>
      <c r="E20" s="2"/>
      <c r="F20" s="10">
        <v>-5813.0621609206355</v>
      </c>
      <c r="G20" s="10">
        <v>853.71680240703586</v>
      </c>
      <c r="H20" s="10">
        <v>-1046.9609918615347</v>
      </c>
      <c r="I20" s="10">
        <v>2145.1808740716365</v>
      </c>
      <c r="J20" s="10">
        <v>6982.6852077500744</v>
      </c>
      <c r="K20" s="10">
        <v>5325.1960990447869</v>
      </c>
      <c r="L20" s="10">
        <v>3135.0846253688856</v>
      </c>
      <c r="M20" s="10">
        <v>-2248.2659808820999</v>
      </c>
      <c r="N20" s="10">
        <v>-41.536671301594062</v>
      </c>
      <c r="O20" s="10">
        <v>2508.4663572869849</v>
      </c>
      <c r="P20" s="10">
        <v>1135.3549510061346</v>
      </c>
      <c r="Q20" s="10">
        <v>852.30557195650113</v>
      </c>
      <c r="R20" s="10">
        <v>328.13636257795361</v>
      </c>
      <c r="S20" s="10">
        <v>-3114.5728490241859</v>
      </c>
      <c r="T20" s="10">
        <v>1170.8423459565875</v>
      </c>
      <c r="U20" s="10">
        <v>404.74983456798901</v>
      </c>
      <c r="V20" s="20"/>
      <c r="W20" s="10">
        <v>1038.863665599561</v>
      </c>
      <c r="X20" s="10">
        <v>857.13764200966204</v>
      </c>
      <c r="Y20" s="10">
        <v>263.8225030246162</v>
      </c>
      <c r="Z20" s="10">
        <v>-896.35680946840148</v>
      </c>
      <c r="AA20" s="10">
        <v>318.90489156081082</v>
      </c>
      <c r="AB20" s="10">
        <v>-149.90025451994447</v>
      </c>
      <c r="AC20" s="10">
        <v>257.87629300931849</v>
      </c>
      <c r="AD20" s="10">
        <v>-1555.7805215480071</v>
      </c>
      <c r="AE20" s="10">
        <v>-946.20762799593331</v>
      </c>
      <c r="AF20" s="10">
        <v>-3.8632267328608805E-2</v>
      </c>
      <c r="AG20" s="10">
        <v>124.15071657429726</v>
      </c>
      <c r="AH20" s="10">
        <v>-96.23810206644049</v>
      </c>
      <c r="AI20" s="10">
        <v>32.871372132190139</v>
      </c>
      <c r="AJ20" s="10">
        <v>-19.386323232748666</v>
      </c>
      <c r="AK20" s="10">
        <v>259.14048868833771</v>
      </c>
      <c r="AL20" s="10">
        <v>9.1456719538723483</v>
      </c>
      <c r="AM20" s="2"/>
      <c r="AN20" s="19">
        <v>4.349853246447527E-2</v>
      </c>
      <c r="AO20" s="19">
        <v>4.5495407999486398E-2</v>
      </c>
      <c r="AP20" s="19">
        <v>4.6776438644923819E-2</v>
      </c>
      <c r="AQ20" s="19">
        <v>4.6814531437253892E-2</v>
      </c>
      <c r="AR20" s="19">
        <v>4.7143960717954368E-2</v>
      </c>
      <c r="AS20" s="19">
        <v>4.8055848970944309E-2</v>
      </c>
      <c r="AT20" s="19">
        <v>5.0039949860644264E-2</v>
      </c>
      <c r="AU20" s="19">
        <v>5.2024050750344213E-2</v>
      </c>
      <c r="AV20" s="19">
        <v>5.4008151640044161E-2</v>
      </c>
      <c r="AW20" s="19">
        <v>5.5992252529744116E-2</v>
      </c>
      <c r="AX20" s="19">
        <v>5.7976353419444078E-2</v>
      </c>
      <c r="AY20" s="19">
        <v>5.9960454309144019E-2</v>
      </c>
      <c r="AZ20" s="19">
        <v>6.2658624029399507E-2</v>
      </c>
      <c r="BA20" s="19">
        <v>6.5356793749655015E-2</v>
      </c>
      <c r="BB20" s="19">
        <v>7.1932166936120506E-2</v>
      </c>
      <c r="BC20" s="19">
        <v>8.0839606486533322E-2</v>
      </c>
      <c r="BD20" s="2"/>
      <c r="BE20" s="19">
        <v>5.0106463970144115E-3</v>
      </c>
      <c r="BF20" s="19">
        <v>6.1117575081255223E-3</v>
      </c>
      <c r="BG20" s="19">
        <v>7.1462019525699678E-3</v>
      </c>
      <c r="BH20" s="19">
        <v>8.8728686192366367E-3</v>
      </c>
      <c r="BI20" s="19">
        <v>1.1637868619236635E-2</v>
      </c>
      <c r="BJ20" s="19">
        <v>2.0129535285903302E-2</v>
      </c>
      <c r="BK20" s="19">
        <v>2.9399431230378543E-2</v>
      </c>
      <c r="BL20" s="19">
        <v>3.0258554862590957E-2</v>
      </c>
      <c r="BM20" s="19">
        <v>3.1784965203561999E-2</v>
      </c>
      <c r="BN20" s="19">
        <v>3.3572764819820682E-2</v>
      </c>
      <c r="BO20" s="19">
        <v>3.343933728496723E-2</v>
      </c>
      <c r="BP20" s="19">
        <v>3.586351620851172E-2</v>
      </c>
      <c r="BQ20" s="19">
        <v>3.9445090578261503E-2</v>
      </c>
      <c r="BR20" s="19">
        <v>4.2947159074536972E-2</v>
      </c>
      <c r="BS20" s="19">
        <v>4.9991234858579918E-2</v>
      </c>
      <c r="BT20" s="19">
        <v>5.8201990663137769E-2</v>
      </c>
      <c r="BU20" s="2"/>
      <c r="BV20" s="10">
        <v>5679.1090594096968</v>
      </c>
      <c r="BW20" s="10">
        <v>1888.1118595191861</v>
      </c>
      <c r="BX20" s="10">
        <v>1087.0724492671243</v>
      </c>
      <c r="BY20" s="10">
        <v>4297.1960036377386</v>
      </c>
      <c r="BZ20" s="10">
        <v>8363.8126036668327</v>
      </c>
      <c r="CA20" s="10">
        <v>8871.2871679770742</v>
      </c>
      <c r="CB20" s="10">
        <v>6048.310225614252</v>
      </c>
      <c r="CC20" s="10">
        <v>2426.6850067594783</v>
      </c>
      <c r="CD20" s="10">
        <v>1767.899573753951</v>
      </c>
      <c r="CE20" s="10">
        <v>3030.6412217856418</v>
      </c>
      <c r="CF20" s="10">
        <v>1195.930161433354</v>
      </c>
      <c r="CG20" s="10">
        <v>1057.3828657170538</v>
      </c>
      <c r="CH20" s="10">
        <v>766.78240633850635</v>
      </c>
      <c r="CI20" s="10">
        <v>559.43192420942387</v>
      </c>
      <c r="CJ20" s="10">
        <v>2730.7361102874397</v>
      </c>
      <c r="CK20" s="10">
        <v>404.74989005056227</v>
      </c>
      <c r="CL20" s="10"/>
      <c r="CM20" s="10">
        <v>11492.171220330332</v>
      </c>
      <c r="CN20" s="10">
        <v>1034.3950571121502</v>
      </c>
      <c r="CO20" s="10">
        <v>2134.033441128659</v>
      </c>
      <c r="CP20" s="10">
        <v>2152.0151295661021</v>
      </c>
      <c r="CQ20" s="10">
        <v>1381.127395916759</v>
      </c>
      <c r="CR20" s="10">
        <v>3546.0910689322873</v>
      </c>
      <c r="CS20" s="10">
        <v>2913.2256002453664</v>
      </c>
      <c r="CT20" s="10">
        <v>4674.9509876415777</v>
      </c>
      <c r="CU20" s="10">
        <v>1809.436245055545</v>
      </c>
      <c r="CV20" s="10">
        <v>522.1748644986568</v>
      </c>
      <c r="CW20" s="10">
        <v>60.575210427219339</v>
      </c>
      <c r="CX20" s="10">
        <v>205.07729376055269</v>
      </c>
      <c r="CY20" s="10">
        <v>438.64604376055274</v>
      </c>
      <c r="CZ20" s="10">
        <v>3674.0047732336097</v>
      </c>
      <c r="DA20" s="10">
        <v>1559.8937643308523</v>
      </c>
      <c r="DB20" s="10">
        <v>5.5482573282475692E-5</v>
      </c>
      <c r="DC20" s="10"/>
      <c r="DD20" s="10">
        <v>7078.6894818651726</v>
      </c>
      <c r="DE20" s="10">
        <v>1354.7809911452225</v>
      </c>
      <c r="DF20" s="10">
        <v>1270.6160444720961</v>
      </c>
      <c r="DG20" s="10">
        <v>1400.8470610045081</v>
      </c>
      <c r="DH20" s="10">
        <v>1586.1752666439629</v>
      </c>
      <c r="DI20" s="10">
        <v>1640.3284398237315</v>
      </c>
      <c r="DJ20" s="10">
        <v>1282.9508125097489</v>
      </c>
      <c r="DK20" s="10">
        <v>1091.2812400107857</v>
      </c>
      <c r="DL20" s="10">
        <v>1021.3934930688519</v>
      </c>
      <c r="DM20" s="10">
        <v>1319.6131940813798</v>
      </c>
      <c r="DN20" s="10">
        <v>810.28353856329511</v>
      </c>
      <c r="DO20" s="10">
        <v>809.14030748776929</v>
      </c>
      <c r="DP20" s="10">
        <v>922.73863243331289</v>
      </c>
      <c r="DQ20" s="10">
        <v>100.13792917524354</v>
      </c>
      <c r="DR20" s="10">
        <v>271.60695658041118</v>
      </c>
      <c r="DS20" s="10">
        <v>9.1456823754892085</v>
      </c>
      <c r="DT20" s="10"/>
      <c r="DU20" s="10">
        <v>6039.8258162656111</v>
      </c>
      <c r="DV20" s="10">
        <v>497.64334913556047</v>
      </c>
      <c r="DW20" s="10">
        <v>1006.7935414474798</v>
      </c>
      <c r="DX20" s="10">
        <v>2297.2038704729093</v>
      </c>
      <c r="DY20" s="10">
        <v>1267.2703750831522</v>
      </c>
      <c r="DZ20" s="10">
        <v>1790.2286943436761</v>
      </c>
      <c r="EA20" s="10">
        <v>1025.0745195004304</v>
      </c>
      <c r="EB20" s="10">
        <v>2647.061761558793</v>
      </c>
      <c r="EC20" s="10">
        <v>1967.6011210647853</v>
      </c>
      <c r="ED20" s="10">
        <v>1319.6518263487083</v>
      </c>
      <c r="EE20" s="10">
        <v>686.13282198899788</v>
      </c>
      <c r="EF20" s="10">
        <v>905.37840955420984</v>
      </c>
      <c r="EG20" s="10">
        <v>889.86726030112277</v>
      </c>
      <c r="EH20" s="10">
        <v>119.52425240799221</v>
      </c>
      <c r="EI20" s="10">
        <v>12.466467892073467</v>
      </c>
      <c r="EJ20" s="10">
        <v>1.0421616860923172E-5</v>
      </c>
      <c r="EL20" s="21" t="b">
        <v>1</v>
      </c>
      <c r="EM20" s="21" t="b">
        <v>1</v>
      </c>
      <c r="EN20" s="21" t="b">
        <v>1</v>
      </c>
      <c r="EO20" s="21" t="b">
        <v>1</v>
      </c>
      <c r="EP20" s="21" t="b">
        <v>1</v>
      </c>
      <c r="EQ20" s="21" t="b">
        <v>1</v>
      </c>
      <c r="ER20" s="21" t="b">
        <v>1</v>
      </c>
      <c r="ES20" s="21" t="b">
        <v>1</v>
      </c>
      <c r="ET20" s="21" t="b">
        <v>0</v>
      </c>
      <c r="EU20" s="21" t="b">
        <v>1</v>
      </c>
      <c r="EV20" s="21" t="b">
        <v>1</v>
      </c>
      <c r="EW20" s="21" t="b">
        <v>1</v>
      </c>
      <c r="EX20" s="21" t="b">
        <v>1</v>
      </c>
      <c r="EY20" s="21" t="b">
        <v>1</v>
      </c>
      <c r="EZ20" s="21" t="b">
        <v>1</v>
      </c>
      <c r="FA20" s="21" t="b">
        <v>1</v>
      </c>
      <c r="FC20" s="21" t="b">
        <v>1</v>
      </c>
      <c r="FD20" s="21" t="b">
        <v>1</v>
      </c>
      <c r="FE20" s="21" t="b">
        <v>1</v>
      </c>
      <c r="FF20" s="21" t="b">
        <v>1</v>
      </c>
      <c r="FG20" s="21" t="b">
        <v>1</v>
      </c>
      <c r="FH20" s="21" t="b">
        <v>0</v>
      </c>
      <c r="FI20" s="21" t="b">
        <v>1</v>
      </c>
      <c r="FJ20" s="21" t="b">
        <v>1</v>
      </c>
      <c r="FK20" s="21" t="b">
        <v>1</v>
      </c>
      <c r="FL20" s="21" t="b">
        <v>0</v>
      </c>
      <c r="FM20" s="21" t="b">
        <v>1</v>
      </c>
      <c r="FN20" s="21" t="b">
        <v>1</v>
      </c>
      <c r="FO20" s="21" t="b">
        <v>1</v>
      </c>
      <c r="FP20" s="21" t="b">
        <v>1</v>
      </c>
      <c r="FQ20" s="21" t="b">
        <v>1</v>
      </c>
      <c r="FR20" s="21" t="b">
        <v>1</v>
      </c>
    </row>
    <row r="21" spans="1:176" x14ac:dyDescent="0.25">
      <c r="A21" t="str">
        <f t="shared" si="0"/>
        <v xml:space="preserve">Dec 2014 </v>
      </c>
      <c r="B21" s="2">
        <v>42004</v>
      </c>
      <c r="C21" s="11">
        <v>2.8</v>
      </c>
      <c r="D21" s="18">
        <v>12273</v>
      </c>
      <c r="E21" s="2"/>
      <c r="F21" s="10">
        <v>-5937.7665799325996</v>
      </c>
      <c r="G21" s="10">
        <v>201.11677797436801</v>
      </c>
      <c r="H21" s="10">
        <v>-547.02932438884682</v>
      </c>
      <c r="I21" s="10">
        <v>2795.0273758961416</v>
      </c>
      <c r="J21" s="10">
        <v>6085.546933209911</v>
      </c>
      <c r="K21" s="10">
        <v>5650.3028460102541</v>
      </c>
      <c r="L21" s="10">
        <v>2996.0836092618242</v>
      </c>
      <c r="M21" s="10">
        <v>-1783.0932003910336</v>
      </c>
      <c r="N21" s="10">
        <v>-65.238832758932716</v>
      </c>
      <c r="O21" s="10">
        <v>2567.5241050385366</v>
      </c>
      <c r="P21" s="10">
        <v>1003.6864689200719</v>
      </c>
      <c r="Q21" s="10">
        <v>861.50091724140839</v>
      </c>
      <c r="R21" s="10">
        <v>741.55095883904244</v>
      </c>
      <c r="S21" s="10">
        <v>-3239.7306111472662</v>
      </c>
      <c r="T21" s="10">
        <v>1112.0624668864416</v>
      </c>
      <c r="U21" s="10">
        <v>394.1346348292571</v>
      </c>
      <c r="V21" s="20"/>
      <c r="W21" s="10">
        <v>906.64500169296593</v>
      </c>
      <c r="X21" s="10">
        <v>620.88711048628375</v>
      </c>
      <c r="Y21" s="10">
        <v>-486.3358004338553</v>
      </c>
      <c r="Z21" s="10">
        <v>-177.8795429830019</v>
      </c>
      <c r="AA21" s="10">
        <v>442.52729482526939</v>
      </c>
      <c r="AB21" s="10">
        <v>-190.85729296470942</v>
      </c>
      <c r="AC21" s="10">
        <v>332.55532492754998</v>
      </c>
      <c r="AD21" s="10">
        <v>-1545.5808103198881</v>
      </c>
      <c r="AE21" s="10">
        <v>-1077.0439127335776</v>
      </c>
      <c r="AF21" s="10">
        <v>289.23904571034114</v>
      </c>
      <c r="AG21" s="10">
        <v>118.24566652612496</v>
      </c>
      <c r="AH21" s="10">
        <v>36.712141312958664</v>
      </c>
      <c r="AI21" s="10">
        <v>43.580183330561489</v>
      </c>
      <c r="AJ21" s="10">
        <v>-86.867356530134401</v>
      </c>
      <c r="AK21" s="10">
        <v>256.21097846270789</v>
      </c>
      <c r="AL21" s="10">
        <v>7.9748222136426152</v>
      </c>
      <c r="AM21" s="2"/>
      <c r="AN21" s="19">
        <v>4.1762429378531078E-2</v>
      </c>
      <c r="AO21" s="19">
        <v>4.4587288135593227E-2</v>
      </c>
      <c r="AP21" s="19">
        <v>4.6395197740112998E-2</v>
      </c>
      <c r="AQ21" s="19">
        <v>4.6338700564971753E-2</v>
      </c>
      <c r="AR21" s="19">
        <v>4.6690799031477E-2</v>
      </c>
      <c r="AS21" s="19">
        <v>4.7916585956416465E-2</v>
      </c>
      <c r="AT21" s="19">
        <v>4.9743030915966387E-2</v>
      </c>
      <c r="AU21" s="19">
        <v>5.1569475875516309E-2</v>
      </c>
      <c r="AV21" s="19">
        <v>5.3395920835066231E-2</v>
      </c>
      <c r="AW21" s="19">
        <v>5.5222365794616153E-2</v>
      </c>
      <c r="AX21" s="19">
        <v>5.7048810754166075E-2</v>
      </c>
      <c r="AY21" s="19">
        <v>5.8875255713715997E-2</v>
      </c>
      <c r="AZ21" s="19">
        <v>6.070170067326592E-2</v>
      </c>
      <c r="BA21" s="19">
        <v>6.2528145632815835E-2</v>
      </c>
      <c r="BB21" s="19">
        <v>7.0170395791680773E-2</v>
      </c>
      <c r="BC21" s="19">
        <v>7.9731164729800019E-2</v>
      </c>
      <c r="BD21" s="2"/>
      <c r="BE21" s="19">
        <v>5.6623208333333331E-3</v>
      </c>
      <c r="BF21" s="19">
        <v>7.0139875000000034E-3</v>
      </c>
      <c r="BG21" s="19">
        <v>8.3656541666666667E-3</v>
      </c>
      <c r="BH21" s="19">
        <v>1.0655654166666678E-2</v>
      </c>
      <c r="BI21" s="19">
        <v>1.385315416666667E-2</v>
      </c>
      <c r="BJ21" s="19">
        <v>2.3340654166666676E-2</v>
      </c>
      <c r="BK21" s="19">
        <v>3.0542662509285726E-2</v>
      </c>
      <c r="BL21" s="19">
        <v>3.1531066487242798E-2</v>
      </c>
      <c r="BM21" s="19">
        <v>3.2915885997744532E-2</v>
      </c>
      <c r="BN21" s="19">
        <v>3.4483443327528951E-2</v>
      </c>
      <c r="BO21" s="19">
        <v>3.3169159930645176E-2</v>
      </c>
      <c r="BP21" s="19">
        <v>3.5691286221358309E-2</v>
      </c>
      <c r="BQ21" s="19">
        <v>3.8258067403136753E-2</v>
      </c>
      <c r="BR21" s="19">
        <v>4.0705589774703732E-2</v>
      </c>
      <c r="BS21" s="19">
        <v>4.8466123077921933E-2</v>
      </c>
      <c r="BT21" s="19">
        <v>5.7848264568079788E-2</v>
      </c>
      <c r="BU21" s="2"/>
      <c r="BV21" s="10">
        <v>6490.6505223755948</v>
      </c>
      <c r="BW21" s="10">
        <v>1621.5169318722253</v>
      </c>
      <c r="BX21" s="10">
        <v>1361.7676527957037</v>
      </c>
      <c r="BY21" s="10">
        <v>4277.0812211764369</v>
      </c>
      <c r="BZ21" s="10">
        <v>7256.5167359933603</v>
      </c>
      <c r="CA21" s="10">
        <v>9430.4019666701497</v>
      </c>
      <c r="CB21" s="10">
        <v>6402.8847381559126</v>
      </c>
      <c r="CC21" s="10">
        <v>2532.7800041475962</v>
      </c>
      <c r="CD21" s="10">
        <v>1786.9754102374952</v>
      </c>
      <c r="CE21" s="10">
        <v>3098.1415241073328</v>
      </c>
      <c r="CF21" s="10">
        <v>1220.2748773830265</v>
      </c>
      <c r="CG21" s="10">
        <v>1317.0632840376963</v>
      </c>
      <c r="CH21" s="10">
        <v>775.18797841310811</v>
      </c>
      <c r="CI21" s="10">
        <v>571.75148493359188</v>
      </c>
      <c r="CJ21" s="10">
        <v>2727.8035080153027</v>
      </c>
      <c r="CK21" s="10">
        <v>394.13469203193409</v>
      </c>
      <c r="CL21" s="10"/>
      <c r="CM21" s="10">
        <v>12428.417102308194</v>
      </c>
      <c r="CN21" s="10">
        <v>1420.4001538978573</v>
      </c>
      <c r="CO21" s="10">
        <v>1908.7969771845505</v>
      </c>
      <c r="CP21" s="10">
        <v>1482.0538452802953</v>
      </c>
      <c r="CQ21" s="10">
        <v>1170.9698027834495</v>
      </c>
      <c r="CR21" s="10">
        <v>3780.0991206598956</v>
      </c>
      <c r="CS21" s="10">
        <v>3406.8011288940884</v>
      </c>
      <c r="CT21" s="10">
        <v>4315.8732045386296</v>
      </c>
      <c r="CU21" s="10">
        <v>1852.2142429964279</v>
      </c>
      <c r="CV21" s="10">
        <v>530.61741906879615</v>
      </c>
      <c r="CW21" s="10">
        <v>216.58840846295459</v>
      </c>
      <c r="CX21" s="10">
        <v>455.56236679628796</v>
      </c>
      <c r="CY21" s="10">
        <v>33.637019574065718</v>
      </c>
      <c r="CZ21" s="10">
        <v>3811.4820960808584</v>
      </c>
      <c r="DA21" s="10">
        <v>1615.7410411288611</v>
      </c>
      <c r="DB21" s="10">
        <v>5.7202676985732188E-5</v>
      </c>
      <c r="DC21" s="10"/>
      <c r="DD21" s="10">
        <v>6397.5699098439172</v>
      </c>
      <c r="DE21" s="10">
        <v>1444.5288993565955</v>
      </c>
      <c r="DF21" s="10">
        <v>1341.0942631179887</v>
      </c>
      <c r="DG21" s="10">
        <v>1431.5610942003366</v>
      </c>
      <c r="DH21" s="10">
        <v>1784.0266067324762</v>
      </c>
      <c r="DI21" s="10">
        <v>1600.0250814645349</v>
      </c>
      <c r="DJ21" s="10">
        <v>1367.4848091171648</v>
      </c>
      <c r="DK21" s="10">
        <v>1311.8344685419409</v>
      </c>
      <c r="DL21" s="10">
        <v>1253.985294641039</v>
      </c>
      <c r="DM21" s="10">
        <v>1293.286266353753</v>
      </c>
      <c r="DN21" s="10">
        <v>791.03055276932582</v>
      </c>
      <c r="DO21" s="10">
        <v>911.47836181035382</v>
      </c>
      <c r="DP21" s="10">
        <v>922.71972185526181</v>
      </c>
      <c r="DQ21" s="10">
        <v>93.404557756920639</v>
      </c>
      <c r="DR21" s="10">
        <v>283.77058906380324</v>
      </c>
      <c r="DS21" s="10">
        <v>7.9748326352594763</v>
      </c>
      <c r="DT21" s="10"/>
      <c r="DU21" s="10">
        <v>5490.9249081509515</v>
      </c>
      <c r="DV21" s="10">
        <v>823.64178887031176</v>
      </c>
      <c r="DW21" s="10">
        <v>1827.4300635518439</v>
      </c>
      <c r="DX21" s="10">
        <v>1609.4406371833386</v>
      </c>
      <c r="DY21" s="10">
        <v>1341.4993119072069</v>
      </c>
      <c r="DZ21" s="10">
        <v>1790.8823744292445</v>
      </c>
      <c r="EA21" s="10">
        <v>1034.9294841896146</v>
      </c>
      <c r="EB21" s="10">
        <v>2857.4152788618289</v>
      </c>
      <c r="EC21" s="10">
        <v>2331.0292073746164</v>
      </c>
      <c r="ED21" s="10">
        <v>1004.0472206434121</v>
      </c>
      <c r="EE21" s="10">
        <v>672.78488624320084</v>
      </c>
      <c r="EF21" s="10">
        <v>874.76622049739512</v>
      </c>
      <c r="EG21" s="10">
        <v>879.13953852470036</v>
      </c>
      <c r="EH21" s="10">
        <v>180.27191428705504</v>
      </c>
      <c r="EI21" s="10">
        <v>27.559610601095358</v>
      </c>
      <c r="EJ21" s="10">
        <v>1.0421616860923172E-5</v>
      </c>
      <c r="EL21" s="21" t="b">
        <v>1</v>
      </c>
      <c r="EM21" s="21" t="b">
        <v>1</v>
      </c>
      <c r="EN21" s="21" t="b">
        <v>1</v>
      </c>
      <c r="EO21" s="21" t="b">
        <v>1</v>
      </c>
      <c r="EP21" s="21" t="b">
        <v>1</v>
      </c>
      <c r="EQ21" s="21" t="b">
        <v>1</v>
      </c>
      <c r="ER21" s="21" t="b">
        <v>1</v>
      </c>
      <c r="ES21" s="21" t="b">
        <v>1</v>
      </c>
      <c r="ET21" s="21" t="b">
        <v>0</v>
      </c>
      <c r="EU21" s="21" t="b">
        <v>1</v>
      </c>
      <c r="EV21" s="21" t="b">
        <v>1</v>
      </c>
      <c r="EW21" s="21" t="b">
        <v>1</v>
      </c>
      <c r="EX21" s="21" t="b">
        <v>1</v>
      </c>
      <c r="EY21" s="21" t="b">
        <v>1</v>
      </c>
      <c r="EZ21" s="21" t="b">
        <v>1</v>
      </c>
      <c r="FA21" s="21" t="b">
        <v>1</v>
      </c>
      <c r="FC21" s="21" t="b">
        <v>1</v>
      </c>
      <c r="FD21" s="21" t="b">
        <v>1</v>
      </c>
      <c r="FE21" s="21" t="b">
        <v>1</v>
      </c>
      <c r="FF21" s="21" t="b">
        <v>1</v>
      </c>
      <c r="FG21" s="21" t="b">
        <v>1</v>
      </c>
      <c r="FH21" s="21" t="b">
        <v>0</v>
      </c>
      <c r="FI21" s="21" t="b">
        <v>1</v>
      </c>
      <c r="FJ21" s="21" t="b">
        <v>1</v>
      </c>
      <c r="FK21" s="21" t="b">
        <v>1</v>
      </c>
      <c r="FL21" s="21" t="b">
        <v>1</v>
      </c>
      <c r="FM21" s="21" t="b">
        <v>1</v>
      </c>
      <c r="FN21" s="21" t="b">
        <v>1</v>
      </c>
      <c r="FO21" s="21" t="b">
        <v>1</v>
      </c>
      <c r="FP21" s="21" t="b">
        <v>1</v>
      </c>
      <c r="FQ21" s="21" t="b">
        <v>1</v>
      </c>
      <c r="FR21" s="21" t="b">
        <v>1</v>
      </c>
    </row>
    <row r="22" spans="1:176" x14ac:dyDescent="0.25">
      <c r="A22" t="str">
        <f t="shared" si="0"/>
        <v xml:space="preserve">Mar 2015 </v>
      </c>
      <c r="B22" s="2">
        <v>42094</v>
      </c>
      <c r="C22" s="11">
        <v>2.8</v>
      </c>
      <c r="D22" s="18">
        <v>12749.5</v>
      </c>
      <c r="E22" s="11"/>
      <c r="F22" s="10">
        <v>-7763.3513895125925</v>
      </c>
      <c r="G22" s="10">
        <v>2004.2015158859929</v>
      </c>
      <c r="H22" s="10">
        <v>-180.21673639309211</v>
      </c>
      <c r="I22" s="10">
        <v>5365.6262741497621</v>
      </c>
      <c r="J22" s="10">
        <v>3333.0001023803725</v>
      </c>
      <c r="K22" s="10">
        <v>6292.5385674460949</v>
      </c>
      <c r="L22" s="10">
        <v>3312.3849698103122</v>
      </c>
      <c r="M22" s="10">
        <v>-1933.9576343485321</v>
      </c>
      <c r="N22" s="10">
        <v>17.294613663972449</v>
      </c>
      <c r="O22" s="10">
        <v>2627.3121856497978</v>
      </c>
      <c r="P22" s="10">
        <v>1070.3339531118352</v>
      </c>
      <c r="Q22" s="10">
        <v>1222.3868707771815</v>
      </c>
      <c r="R22" s="10">
        <v>758.26587990232804</v>
      </c>
      <c r="S22" s="10">
        <v>-3322.251364724455</v>
      </c>
      <c r="T22" s="10">
        <v>1053.9980033048291</v>
      </c>
      <c r="U22" s="10">
        <v>386.56032877346809</v>
      </c>
      <c r="V22" s="20"/>
      <c r="W22" s="10">
        <v>794.81084566754066</v>
      </c>
      <c r="X22" s="10">
        <v>905.00274617970786</v>
      </c>
      <c r="Y22" s="10">
        <v>352.17220950367607</v>
      </c>
      <c r="Z22" s="10">
        <v>-297.25064284820337</v>
      </c>
      <c r="AA22" s="10">
        <v>67.457249827032058</v>
      </c>
      <c r="AB22" s="10">
        <v>116.99356735569282</v>
      </c>
      <c r="AC22" s="10">
        <v>120.44964781740602</v>
      </c>
      <c r="AD22" s="10">
        <v>-1072.3958947685285</v>
      </c>
      <c r="AE22" s="10">
        <v>-1399.8729531817382</v>
      </c>
      <c r="AF22" s="10">
        <v>325.30023175337379</v>
      </c>
      <c r="AG22" s="10">
        <v>155.97487666128714</v>
      </c>
      <c r="AH22" s="10">
        <v>113.20614801994319</v>
      </c>
      <c r="AI22" s="10">
        <v>-2.2330638032103494</v>
      </c>
      <c r="AJ22" s="10">
        <v>-157.51752475964437</v>
      </c>
      <c r="AK22" s="10">
        <v>233.65311366345918</v>
      </c>
      <c r="AL22" s="10">
        <v>-4.2418270582219542</v>
      </c>
      <c r="AM22" s="2"/>
      <c r="AN22" s="19">
        <v>4.2653126605033391E-2</v>
      </c>
      <c r="AO22" s="19">
        <v>4.5734790703646638E-2</v>
      </c>
      <c r="AP22" s="19">
        <v>4.7799505649717508E-2</v>
      </c>
      <c r="AQ22" s="19">
        <v>4.7769687696170744E-2</v>
      </c>
      <c r="AR22" s="19">
        <v>4.8063579499596443E-2</v>
      </c>
      <c r="AS22" s="19">
        <v>4.9110038337368843E-2</v>
      </c>
      <c r="AT22" s="19">
        <v>5.0825084075518397E-2</v>
      </c>
      <c r="AU22" s="19">
        <v>5.254012981366793E-2</v>
      </c>
      <c r="AV22" s="19">
        <v>5.4255175551817469E-2</v>
      </c>
      <c r="AW22" s="19">
        <v>5.5970221289967023E-2</v>
      </c>
      <c r="AX22" s="19">
        <v>5.768526702811657E-2</v>
      </c>
      <c r="AY22" s="19">
        <v>5.9400312766266103E-2</v>
      </c>
      <c r="AZ22" s="19">
        <v>6.1115358504415643E-2</v>
      </c>
      <c r="BA22" s="19">
        <v>6.2830404242565183E-2</v>
      </c>
      <c r="BB22" s="19">
        <v>7.0445154246563849E-2</v>
      </c>
      <c r="BC22" s="19">
        <v>8.0544976622826558E-2</v>
      </c>
      <c r="BD22" s="2"/>
      <c r="BE22" s="19">
        <v>1.0088865625E-2</v>
      </c>
      <c r="BF22" s="19">
        <v>1.2002615625000003E-2</v>
      </c>
      <c r="BG22" s="19">
        <v>1.3916365625000001E-2</v>
      </c>
      <c r="BH22" s="19">
        <v>1.7143865625000008E-2</v>
      </c>
      <c r="BI22" s="19">
        <v>2.0429490625000005E-2</v>
      </c>
      <c r="BJ22" s="19">
        <v>2.8775115625000004E-2</v>
      </c>
      <c r="BK22" s="19">
        <v>3.3737076580306558E-2</v>
      </c>
      <c r="BL22" s="19">
        <v>3.4603448515245827E-2</v>
      </c>
      <c r="BM22" s="19">
        <v>3.5867109216985105E-2</v>
      </c>
      <c r="BN22" s="19">
        <v>3.7313713450650154E-2</v>
      </c>
      <c r="BO22" s="19">
        <v>3.5547560747683282E-2</v>
      </c>
      <c r="BP22" s="19">
        <v>3.7978604729430765E-2</v>
      </c>
      <c r="BQ22" s="19">
        <v>4.0458401567823155E-2</v>
      </c>
      <c r="BR22" s="19">
        <v>4.2827417617057217E-2</v>
      </c>
      <c r="BS22" s="19">
        <v>5.0342431579611602E-2</v>
      </c>
      <c r="BT22" s="19">
        <v>5.9449090185705378E-2</v>
      </c>
      <c r="BU22" s="2"/>
      <c r="BV22" s="10">
        <v>5316.3753274997889</v>
      </c>
      <c r="BW22" s="10">
        <v>3078.4306766887057</v>
      </c>
      <c r="BX22" s="10">
        <v>1781.6182421596554</v>
      </c>
      <c r="BY22" s="10">
        <v>6515.087319616212</v>
      </c>
      <c r="BZ22" s="10">
        <v>4666.3036551288178</v>
      </c>
      <c r="CA22" s="10">
        <v>10129.978236801624</v>
      </c>
      <c r="CB22" s="10">
        <v>6853.9244118703409</v>
      </c>
      <c r="CC22" s="10">
        <v>2503.0131349457947</v>
      </c>
      <c r="CD22" s="10">
        <v>1903.5267821333434</v>
      </c>
      <c r="CE22" s="10">
        <v>3161.637053738169</v>
      </c>
      <c r="CF22" s="10">
        <v>1291.6210374898226</v>
      </c>
      <c r="CG22" s="10">
        <v>1682.6479134885024</v>
      </c>
      <c r="CH22" s="10">
        <v>796.63534059723565</v>
      </c>
      <c r="CI22" s="10">
        <v>590.79599193041736</v>
      </c>
      <c r="CJ22" s="10">
        <v>2716.0188808925523</v>
      </c>
      <c r="CK22" s="10">
        <v>386.56038646738762</v>
      </c>
      <c r="CL22" s="10"/>
      <c r="CM22" s="10">
        <v>13079.726717012381</v>
      </c>
      <c r="CN22" s="10">
        <v>1074.2291608027128</v>
      </c>
      <c r="CO22" s="10">
        <v>1961.8349785527475</v>
      </c>
      <c r="CP22" s="10">
        <v>1149.4610454664496</v>
      </c>
      <c r="CQ22" s="10">
        <v>1333.3035527484451</v>
      </c>
      <c r="CR22" s="10">
        <v>3837.4396693555291</v>
      </c>
      <c r="CS22" s="10">
        <v>3541.5394420600287</v>
      </c>
      <c r="CT22" s="10">
        <v>4436.9707692943266</v>
      </c>
      <c r="CU22" s="10">
        <v>1886.2321684693709</v>
      </c>
      <c r="CV22" s="10">
        <v>534.32486808837132</v>
      </c>
      <c r="CW22" s="10">
        <v>221.28708437798747</v>
      </c>
      <c r="CX22" s="10">
        <v>460.26104271132084</v>
      </c>
      <c r="CY22" s="10">
        <v>38.369460694907573</v>
      </c>
      <c r="CZ22" s="10">
        <v>3913.0473566548721</v>
      </c>
      <c r="DA22" s="10">
        <v>1662.0208775877231</v>
      </c>
      <c r="DB22" s="10">
        <v>5.7693919551108243E-5</v>
      </c>
      <c r="DC22" s="10"/>
      <c r="DD22" s="10">
        <v>6890.7177302287955</v>
      </c>
      <c r="DE22" s="10">
        <v>1379.8516213555117</v>
      </c>
      <c r="DF22" s="10">
        <v>1328.0864462144607</v>
      </c>
      <c r="DG22" s="10">
        <v>1783.6393637578112</v>
      </c>
      <c r="DH22" s="10">
        <v>1448.3640541674972</v>
      </c>
      <c r="DI22" s="10">
        <v>1656.7429311844119</v>
      </c>
      <c r="DJ22" s="10">
        <v>1402.3684885131306</v>
      </c>
      <c r="DK22" s="10">
        <v>1769.7020303234176</v>
      </c>
      <c r="DL22" s="10">
        <v>912.76344038971445</v>
      </c>
      <c r="DM22" s="10">
        <v>1291.8249542370177</v>
      </c>
      <c r="DN22" s="10">
        <v>853.46580968081605</v>
      </c>
      <c r="DO22" s="10">
        <v>981.4202505818098</v>
      </c>
      <c r="DP22" s="10">
        <v>877.40609827371782</v>
      </c>
      <c r="DQ22" s="10">
        <v>92.718726963974603</v>
      </c>
      <c r="DR22" s="10">
        <v>298.07058200757206</v>
      </c>
      <c r="DS22" s="10">
        <v>6.8692944745060167</v>
      </c>
      <c r="DT22" s="10"/>
      <c r="DU22" s="10">
        <v>6095.9068845612546</v>
      </c>
      <c r="DV22" s="10">
        <v>474.8488751758037</v>
      </c>
      <c r="DW22" s="10">
        <v>975.91423671078462</v>
      </c>
      <c r="DX22" s="10">
        <v>2080.8900066060146</v>
      </c>
      <c r="DY22" s="10">
        <v>1380.9068043404652</v>
      </c>
      <c r="DZ22" s="10">
        <v>1539.749363828719</v>
      </c>
      <c r="EA22" s="10">
        <v>1281.9188406957244</v>
      </c>
      <c r="EB22" s="10">
        <v>2842.0979250919459</v>
      </c>
      <c r="EC22" s="10">
        <v>2312.6363935714526</v>
      </c>
      <c r="ED22" s="10">
        <v>966.52472248364381</v>
      </c>
      <c r="EE22" s="10">
        <v>697.49093301952894</v>
      </c>
      <c r="EF22" s="10">
        <v>868.21410256186664</v>
      </c>
      <c r="EG22" s="10">
        <v>879.6391620769283</v>
      </c>
      <c r="EH22" s="10">
        <v>250.23625172361898</v>
      </c>
      <c r="EI22" s="10">
        <v>64.417468344112891</v>
      </c>
      <c r="EJ22" s="10">
        <v>11.111121532727971</v>
      </c>
      <c r="EL22" s="21" t="b">
        <v>1</v>
      </c>
      <c r="EM22" s="21" t="b">
        <v>1</v>
      </c>
      <c r="EN22" s="21" t="b">
        <v>1</v>
      </c>
      <c r="EO22" s="21" t="b">
        <v>1</v>
      </c>
      <c r="EP22" s="21" t="b">
        <v>1</v>
      </c>
      <c r="EQ22" s="21" t="b">
        <v>1</v>
      </c>
      <c r="ER22" s="21" t="b">
        <v>1</v>
      </c>
      <c r="ES22" s="21" t="b">
        <v>1</v>
      </c>
      <c r="ET22" s="21" t="b">
        <v>0</v>
      </c>
      <c r="EU22" s="21" t="b">
        <v>1</v>
      </c>
      <c r="EV22" s="21" t="b">
        <v>1</v>
      </c>
      <c r="EW22" s="21" t="b">
        <v>1</v>
      </c>
      <c r="EX22" s="21" t="b">
        <v>1</v>
      </c>
      <c r="EY22" s="21" t="b">
        <v>1</v>
      </c>
      <c r="EZ22" s="21" t="b">
        <v>1</v>
      </c>
      <c r="FA22" s="21" t="b">
        <v>1</v>
      </c>
      <c r="FC22" s="21" t="b">
        <v>1</v>
      </c>
      <c r="FD22" s="21" t="b">
        <v>1</v>
      </c>
      <c r="FE22" s="21" t="b">
        <v>1</v>
      </c>
      <c r="FF22" s="21" t="b">
        <v>1</v>
      </c>
      <c r="FG22" s="21" t="b">
        <v>0</v>
      </c>
      <c r="FH22" s="21" t="b">
        <v>1</v>
      </c>
      <c r="FI22" s="21" t="b">
        <v>1</v>
      </c>
      <c r="FJ22" s="21" t="b">
        <v>1</v>
      </c>
      <c r="FK22" s="21" t="b">
        <v>1</v>
      </c>
      <c r="FL22" s="21" t="b">
        <v>1</v>
      </c>
      <c r="FM22" s="21" t="b">
        <v>1</v>
      </c>
      <c r="FN22" s="21" t="b">
        <v>1</v>
      </c>
      <c r="FO22" s="21" t="b">
        <v>0</v>
      </c>
      <c r="FP22" s="21" t="b">
        <v>1</v>
      </c>
      <c r="FQ22" s="21" t="b">
        <v>1</v>
      </c>
      <c r="FR22" s="21" t="b">
        <v>1</v>
      </c>
    </row>
    <row r="23" spans="1:176" x14ac:dyDescent="0.25">
      <c r="A23" t="str">
        <f t="shared" si="0"/>
        <v xml:space="preserve">Jun 2015 </v>
      </c>
      <c r="B23" s="2">
        <v>42185</v>
      </c>
      <c r="C23" s="11">
        <v>2.8</v>
      </c>
      <c r="D23" s="18">
        <v>13226</v>
      </c>
      <c r="E23" s="11"/>
      <c r="F23" s="10">
        <v>-6048.1758358100415</v>
      </c>
      <c r="G23" s="10">
        <v>2745.9150806295038</v>
      </c>
      <c r="H23" s="10">
        <v>-401.76016756676904</v>
      </c>
      <c r="I23" s="10">
        <v>2272.2628200153626</v>
      </c>
      <c r="J23" s="10">
        <v>4279.1342220668703</v>
      </c>
      <c r="K23" s="10">
        <v>6636.3160218339408</v>
      </c>
      <c r="L23" s="10">
        <v>3178.0236226933007</v>
      </c>
      <c r="M23" s="10">
        <v>-1897.9931358866145</v>
      </c>
      <c r="N23" s="10">
        <v>30.825551770371504</v>
      </c>
      <c r="O23" s="10">
        <v>2733.7811019261289</v>
      </c>
      <c r="P23" s="10">
        <v>1082.4985849317861</v>
      </c>
      <c r="Q23" s="10">
        <v>1488.5014853103207</v>
      </c>
      <c r="R23" s="10">
        <v>-114.73271937345214</v>
      </c>
      <c r="S23" s="10">
        <v>-2707.4002360412678</v>
      </c>
      <c r="T23" s="10">
        <v>1000.0324119415152</v>
      </c>
      <c r="U23" s="10">
        <v>379.63020057535039</v>
      </c>
      <c r="V23" s="20"/>
      <c r="W23" s="10">
        <v>1337.546727724724</v>
      </c>
      <c r="X23" s="10">
        <v>588.78970913707326</v>
      </c>
      <c r="Y23" s="10">
        <v>-255.60129854597153</v>
      </c>
      <c r="Z23" s="10">
        <v>-135.02540786608347</v>
      </c>
      <c r="AA23" s="10">
        <v>30.662341035908387</v>
      </c>
      <c r="AB23" s="10">
        <v>163.71550597234295</v>
      </c>
      <c r="AC23" s="10">
        <v>243.01073188641226</v>
      </c>
      <c r="AD23" s="10">
        <v>-985.70664579333481</v>
      </c>
      <c r="AE23" s="10">
        <v>-1675.6557088281079</v>
      </c>
      <c r="AF23" s="10">
        <v>356.79263345649696</v>
      </c>
      <c r="AG23" s="10">
        <v>-106.84014315222696</v>
      </c>
      <c r="AH23" s="10">
        <v>498.90824785078507</v>
      </c>
      <c r="AI23" s="10">
        <v>-19.877459678928219</v>
      </c>
      <c r="AJ23" s="10">
        <v>-207.78143509517099</v>
      </c>
      <c r="AK23" s="10">
        <v>219.72824782143536</v>
      </c>
      <c r="AL23" s="10">
        <v>-5.2956127657591168</v>
      </c>
      <c r="AM23" s="2"/>
      <c r="AN23" s="19">
        <v>4.3543823831535697E-2</v>
      </c>
      <c r="AO23" s="19">
        <v>4.6882293271700057E-2</v>
      </c>
      <c r="AP23" s="19">
        <v>4.9203813559322032E-2</v>
      </c>
      <c r="AQ23" s="19">
        <v>4.9200674827369742E-2</v>
      </c>
      <c r="AR23" s="19">
        <v>4.9436359967715893E-2</v>
      </c>
      <c r="AS23" s="19">
        <v>5.0303490718321228E-2</v>
      </c>
      <c r="AT23" s="19">
        <v>5.1907137235070393E-2</v>
      </c>
      <c r="AU23" s="19">
        <v>5.3510783751819557E-2</v>
      </c>
      <c r="AV23" s="19">
        <v>5.5114430268568715E-2</v>
      </c>
      <c r="AW23" s="19">
        <v>5.6718076785317886E-2</v>
      </c>
      <c r="AX23" s="19">
        <v>5.8321723302067051E-2</v>
      </c>
      <c r="AY23" s="19">
        <v>5.9925369818816208E-2</v>
      </c>
      <c r="AZ23" s="19">
        <v>6.1529016335565373E-2</v>
      </c>
      <c r="BA23" s="19">
        <v>6.3132662852314531E-2</v>
      </c>
      <c r="BB23" s="19">
        <v>7.0719912701446924E-2</v>
      </c>
      <c r="BC23" s="19">
        <v>8.1358788515853098E-2</v>
      </c>
      <c r="BD23" s="2"/>
      <c r="BE23" s="19">
        <v>1.4515410416666668E-2</v>
      </c>
      <c r="BF23" s="19">
        <v>1.6991243750000003E-2</v>
      </c>
      <c r="BG23" s="19">
        <v>1.9467077083333336E-2</v>
      </c>
      <c r="BH23" s="19">
        <v>2.3632077083333338E-2</v>
      </c>
      <c r="BI23" s="19">
        <v>2.7005827083333336E-2</v>
      </c>
      <c r="BJ23" s="19">
        <v>3.4209577083333331E-2</v>
      </c>
      <c r="BK23" s="19">
        <v>3.6931490651327392E-2</v>
      </c>
      <c r="BL23" s="19">
        <v>3.7675830543248856E-2</v>
      </c>
      <c r="BM23" s="19">
        <v>3.8818332436225678E-2</v>
      </c>
      <c r="BN23" s="19">
        <v>4.0143983573771358E-2</v>
      </c>
      <c r="BO23" s="19">
        <v>3.7925961564721389E-2</v>
      </c>
      <c r="BP23" s="19">
        <v>4.0265923237503221E-2</v>
      </c>
      <c r="BQ23" s="19">
        <v>4.2658735732509556E-2</v>
      </c>
      <c r="BR23" s="19">
        <v>4.4949245459410703E-2</v>
      </c>
      <c r="BS23" s="19">
        <v>5.2218740081301264E-2</v>
      </c>
      <c r="BT23" s="19">
        <v>6.1049915803330967E-2</v>
      </c>
      <c r="BU23" s="2"/>
      <c r="BV23" s="10">
        <v>7511.921838543617</v>
      </c>
      <c r="BW23" s="10">
        <v>3496.3599880027059</v>
      </c>
      <c r="BX23" s="10">
        <v>1584.033236648258</v>
      </c>
      <c r="BY23" s="10">
        <v>3653.7906837874739</v>
      </c>
      <c r="BZ23" s="10">
        <v>5720.4072775849336</v>
      </c>
      <c r="CA23" s="10">
        <v>10655.76212842709</v>
      </c>
      <c r="CB23" s="10">
        <v>7036.9691017520663</v>
      </c>
      <c r="CC23" s="10">
        <v>2551.5736421051806</v>
      </c>
      <c r="CD23" s="10">
        <v>2001.3718037548431</v>
      </c>
      <c r="CE23" s="10">
        <v>3272.0486695631052</v>
      </c>
      <c r="CF23" s="10">
        <v>1305.7078446892908</v>
      </c>
      <c r="CG23" s="10">
        <v>1945.2794950678256</v>
      </c>
      <c r="CH23" s="10">
        <v>815.6715145012613</v>
      </c>
      <c r="CI23" s="10">
        <v>608.85584194645401</v>
      </c>
      <c r="CJ23" s="10">
        <v>2698.9451952572858</v>
      </c>
      <c r="CK23" s="10">
        <v>379.63026841674008</v>
      </c>
      <c r="CL23" s="10"/>
      <c r="CM23" s="10">
        <v>13560.097674353659</v>
      </c>
      <c r="CN23" s="10">
        <v>750.44490737320189</v>
      </c>
      <c r="CO23" s="10">
        <v>1985.7934042150271</v>
      </c>
      <c r="CP23" s="10">
        <v>1381.5278637721112</v>
      </c>
      <c r="CQ23" s="10">
        <v>1441.2730555180628</v>
      </c>
      <c r="CR23" s="10">
        <v>4019.4461065931491</v>
      </c>
      <c r="CS23" s="10">
        <v>3858.9454790587656</v>
      </c>
      <c r="CT23" s="10">
        <v>4449.5667779917949</v>
      </c>
      <c r="CU23" s="10">
        <v>1970.5462519844716</v>
      </c>
      <c r="CV23" s="10">
        <v>538.26756763697631</v>
      </c>
      <c r="CW23" s="10">
        <v>223.20925975750478</v>
      </c>
      <c r="CX23" s="10">
        <v>456.77800975750483</v>
      </c>
      <c r="CY23" s="10">
        <v>930.40423387471344</v>
      </c>
      <c r="CZ23" s="10">
        <v>3316.2560779877217</v>
      </c>
      <c r="DA23" s="10">
        <v>1698.9127833157706</v>
      </c>
      <c r="DB23" s="10">
        <v>6.7841389666687429E-5</v>
      </c>
      <c r="DC23" s="10"/>
      <c r="DD23" s="10">
        <v>7010.6513762130253</v>
      </c>
      <c r="DE23" s="10">
        <v>1684.918053391322</v>
      </c>
      <c r="DF23" s="10">
        <v>1432.2100371847137</v>
      </c>
      <c r="DG23" s="10">
        <v>1540.4210180323037</v>
      </c>
      <c r="DH23" s="10">
        <v>1334.7104154040653</v>
      </c>
      <c r="DI23" s="10">
        <v>1731.6828385460012</v>
      </c>
      <c r="DJ23" s="10">
        <v>1551.8402722318272</v>
      </c>
      <c r="DK23" s="10">
        <v>1948.3991283192786</v>
      </c>
      <c r="DL23" s="10">
        <v>698.75811264664094</v>
      </c>
      <c r="DM23" s="10">
        <v>1320.3649722994057</v>
      </c>
      <c r="DN23" s="10">
        <v>1302.5172855773496</v>
      </c>
      <c r="DO23" s="10">
        <v>1376.7150695207479</v>
      </c>
      <c r="DP23" s="10">
        <v>116.28709045359015</v>
      </c>
      <c r="DQ23" s="10">
        <v>72.29741236370927</v>
      </c>
      <c r="DR23" s="10">
        <v>298.39134866225771</v>
      </c>
      <c r="DS23" s="10">
        <v>5.8155087669688541</v>
      </c>
      <c r="DT23" s="10"/>
      <c r="DU23" s="10">
        <v>5673.1046484883018</v>
      </c>
      <c r="DV23" s="10">
        <v>1096.1283442542488</v>
      </c>
      <c r="DW23" s="10">
        <v>1687.8113357306852</v>
      </c>
      <c r="DX23" s="10">
        <v>1675.4464258983871</v>
      </c>
      <c r="DY23" s="10">
        <v>1304.0480743681569</v>
      </c>
      <c r="DZ23" s="10">
        <v>1567.9673325736583</v>
      </c>
      <c r="EA23" s="10">
        <v>1308.8295403454147</v>
      </c>
      <c r="EB23" s="10">
        <v>2934.1057741126133</v>
      </c>
      <c r="EC23" s="10">
        <v>2374.4138214747491</v>
      </c>
      <c r="ED23" s="10">
        <v>963.57233884290883</v>
      </c>
      <c r="EE23" s="10">
        <v>1409.3574287295767</v>
      </c>
      <c r="EF23" s="10">
        <v>877.80682166996269</v>
      </c>
      <c r="EG23" s="10">
        <v>136.16455013251837</v>
      </c>
      <c r="EH23" s="10">
        <v>280.07884745888026</v>
      </c>
      <c r="EI23" s="10">
        <v>78.663100840822352</v>
      </c>
      <c r="EJ23" s="10">
        <v>11.111121532727971</v>
      </c>
      <c r="EL23" s="21" t="b">
        <v>1</v>
      </c>
      <c r="EM23" s="21" t="b">
        <v>1</v>
      </c>
      <c r="EN23" s="21" t="b">
        <v>1</v>
      </c>
      <c r="EO23" s="21" t="b">
        <v>1</v>
      </c>
      <c r="EP23" s="21" t="b">
        <v>1</v>
      </c>
      <c r="EQ23" s="21" t="b">
        <v>1</v>
      </c>
      <c r="ER23" s="21" t="b">
        <v>1</v>
      </c>
      <c r="ES23" s="21" t="b">
        <v>1</v>
      </c>
      <c r="ET23" s="21" t="b">
        <v>1</v>
      </c>
      <c r="EU23" s="21" t="b">
        <v>1</v>
      </c>
      <c r="EV23" s="21" t="b">
        <v>1</v>
      </c>
      <c r="EW23" s="21" t="b">
        <v>1</v>
      </c>
      <c r="EX23" s="21" t="b">
        <v>1</v>
      </c>
      <c r="EY23" s="21" t="b">
        <v>1</v>
      </c>
      <c r="EZ23" s="21" t="b">
        <v>1</v>
      </c>
      <c r="FA23" s="21" t="b">
        <v>1</v>
      </c>
      <c r="FC23" s="21" t="b">
        <v>1</v>
      </c>
      <c r="FD23" s="21" t="b">
        <v>1</v>
      </c>
      <c r="FE23" s="21" t="b">
        <v>1</v>
      </c>
      <c r="FF23" s="21" t="b">
        <v>1</v>
      </c>
      <c r="FG23" s="21" t="b">
        <v>1</v>
      </c>
      <c r="FH23" s="21" t="b">
        <v>1</v>
      </c>
      <c r="FI23" s="21" t="b">
        <v>1</v>
      </c>
      <c r="FJ23" s="21" t="b">
        <v>1</v>
      </c>
      <c r="FK23" s="21" t="b">
        <v>1</v>
      </c>
      <c r="FL23" s="21" t="b">
        <v>1</v>
      </c>
      <c r="FM23" s="21" t="b">
        <v>1</v>
      </c>
      <c r="FN23" s="21" t="b">
        <v>1</v>
      </c>
      <c r="FO23" s="21" t="b">
        <v>1</v>
      </c>
      <c r="FP23" s="21" t="b">
        <v>1</v>
      </c>
      <c r="FQ23" s="21" t="b">
        <v>1</v>
      </c>
      <c r="FR23" s="21" t="b">
        <v>1</v>
      </c>
    </row>
    <row r="24" spans="1:176" x14ac:dyDescent="0.25">
      <c r="A24" t="str">
        <f t="shared" si="0"/>
        <v xml:space="preserve">Sep 2015 </v>
      </c>
      <c r="B24" s="2">
        <v>42277</v>
      </c>
      <c r="C24" s="11">
        <v>2.8</v>
      </c>
      <c r="D24" s="18">
        <v>13702.500000000002</v>
      </c>
      <c r="E24" s="11"/>
      <c r="F24" s="10">
        <v>-8040.5847707410503</v>
      </c>
      <c r="G24" s="10">
        <v>1445.9441567148335</v>
      </c>
      <c r="H24" s="10">
        <v>-178.06293291066754</v>
      </c>
      <c r="I24" s="10">
        <v>2715.6741995531888</v>
      </c>
      <c r="J24" s="10">
        <v>10313.341626192157</v>
      </c>
      <c r="K24" s="10">
        <v>6401.8568989818477</v>
      </c>
      <c r="L24" s="10">
        <v>310.68815798594517</v>
      </c>
      <c r="M24" s="10">
        <v>-1698.3986774404609</v>
      </c>
      <c r="N24" s="10">
        <v>1531.3497857312113</v>
      </c>
      <c r="O24" s="10">
        <v>1568.1410834083458</v>
      </c>
      <c r="P24" s="10">
        <v>1281.5728988551166</v>
      </c>
      <c r="Q24" s="10">
        <v>1561.3453357774786</v>
      </c>
      <c r="R24" s="10">
        <v>-211.57299634575077</v>
      </c>
      <c r="S24" s="10">
        <v>-2637.6366025058674</v>
      </c>
      <c r="T24" s="10">
        <v>923.95172442809144</v>
      </c>
      <c r="U24" s="10">
        <v>373.18179517891934</v>
      </c>
      <c r="V24" s="20"/>
      <c r="W24" s="10">
        <v>855.92671517561644</v>
      </c>
      <c r="X24" s="10">
        <v>638.07973097076717</v>
      </c>
      <c r="Y24" s="10">
        <v>-56.466403944487126</v>
      </c>
      <c r="Z24" s="10">
        <v>-390.77786290639057</v>
      </c>
      <c r="AA24" s="10">
        <v>317.08926667515732</v>
      </c>
      <c r="AB24" s="10">
        <v>464.46574198731037</v>
      </c>
      <c r="AC24" s="10">
        <v>257.93385279598419</v>
      </c>
      <c r="AD24" s="10">
        <v>-1096.8739890307531</v>
      </c>
      <c r="AE24" s="10">
        <v>-1492.3888794467839</v>
      </c>
      <c r="AF24" s="10">
        <v>323.36747741129318</v>
      </c>
      <c r="AG24" s="10">
        <v>4.9485395278045416</v>
      </c>
      <c r="AH24" s="10">
        <v>361.19978366899011</v>
      </c>
      <c r="AI24" s="10">
        <v>-8.0976914943610154</v>
      </c>
      <c r="AJ24" s="10">
        <v>-207.9387238827083</v>
      </c>
      <c r="AK24" s="10">
        <v>215.66727696104701</v>
      </c>
      <c r="AL24" s="10">
        <v>-6.286983366332203</v>
      </c>
      <c r="AM24" s="2"/>
      <c r="AN24" s="19">
        <v>4.4434521058038003E-2</v>
      </c>
      <c r="AO24" s="19">
        <v>4.8029795839753468E-2</v>
      </c>
      <c r="AP24" s="19">
        <v>5.0608121468926549E-2</v>
      </c>
      <c r="AQ24" s="19">
        <v>5.0631661958568733E-2</v>
      </c>
      <c r="AR24" s="19">
        <v>5.0809140435835343E-2</v>
      </c>
      <c r="AS24" s="19">
        <v>5.1496943099273607E-2</v>
      </c>
      <c r="AT24" s="19">
        <v>5.2989190394622396E-2</v>
      </c>
      <c r="AU24" s="19">
        <v>5.4481437689971178E-2</v>
      </c>
      <c r="AV24" s="19">
        <v>5.597368498531996E-2</v>
      </c>
      <c r="AW24" s="19">
        <v>5.7465932280668749E-2</v>
      </c>
      <c r="AX24" s="19">
        <v>5.8958179576017539E-2</v>
      </c>
      <c r="AY24" s="19">
        <v>6.0450426871366321E-2</v>
      </c>
      <c r="AZ24" s="19">
        <v>6.1942674166715103E-2</v>
      </c>
      <c r="BA24" s="19">
        <v>6.3434921462063878E-2</v>
      </c>
      <c r="BB24" s="19">
        <v>7.099467115633E-2</v>
      </c>
      <c r="BC24" s="19">
        <v>8.2172600408879637E-2</v>
      </c>
      <c r="BD24" s="2"/>
      <c r="BE24" s="19">
        <v>1.8941955208333333E-2</v>
      </c>
      <c r="BF24" s="19">
        <v>2.1979871875000001E-2</v>
      </c>
      <c r="BG24" s="19">
        <v>2.5017788541666669E-2</v>
      </c>
      <c r="BH24" s="19">
        <v>3.0120288541666668E-2</v>
      </c>
      <c r="BI24" s="19">
        <v>3.3582163541666668E-2</v>
      </c>
      <c r="BJ24" s="19">
        <v>3.9644038541666662E-2</v>
      </c>
      <c r="BK24" s="19">
        <v>4.0125904722348227E-2</v>
      </c>
      <c r="BL24" s="19">
        <v>4.0748212571251885E-2</v>
      </c>
      <c r="BM24" s="19">
        <v>4.1769555655466251E-2</v>
      </c>
      <c r="BN24" s="19">
        <v>4.2974253696892561E-2</v>
      </c>
      <c r="BO24" s="19">
        <v>4.0304362381759495E-2</v>
      </c>
      <c r="BP24" s="19">
        <v>4.2553241745575676E-2</v>
      </c>
      <c r="BQ24" s="19">
        <v>4.4859069897195958E-2</v>
      </c>
      <c r="BR24" s="19">
        <v>4.7071073301764188E-2</v>
      </c>
      <c r="BS24" s="19">
        <v>5.4095048582990933E-2</v>
      </c>
      <c r="BT24" s="19">
        <v>6.2650741420956557E-2</v>
      </c>
      <c r="BU24" s="2"/>
      <c r="BV24" s="10">
        <v>5702.1746160710682</v>
      </c>
      <c r="BW24" s="10">
        <v>2448.8809368714187</v>
      </c>
      <c r="BX24" s="10">
        <v>1851.6976010285202</v>
      </c>
      <c r="BY24" s="10">
        <v>4094.2502191267895</v>
      </c>
      <c r="BZ24" s="10">
        <v>11685.381621350774</v>
      </c>
      <c r="CA24" s="10">
        <v>10513.316653657301</v>
      </c>
      <c r="CB24" s="10">
        <v>4493.5404967843169</v>
      </c>
      <c r="CC24" s="10">
        <v>2646.1875453009111</v>
      </c>
      <c r="CD24" s="10">
        <v>3841.2731515187488</v>
      </c>
      <c r="CE24" s="10">
        <v>1669.3615625783013</v>
      </c>
      <c r="CF24" s="10">
        <v>1508.0292424140694</v>
      </c>
      <c r="CG24" s="10">
        <v>2021.3704293364312</v>
      </c>
      <c r="CH24" s="10">
        <v>755.28358581074519</v>
      </c>
      <c r="CI24" s="10">
        <v>621.44471254762311</v>
      </c>
      <c r="CJ24" s="10">
        <v>2677.658298462416</v>
      </c>
      <c r="CK24" s="10">
        <v>373.18185692209738</v>
      </c>
      <c r="CL24" s="10"/>
      <c r="CM24" s="10">
        <v>13742.759386812118</v>
      </c>
      <c r="CN24" s="10">
        <v>1002.9367801565851</v>
      </c>
      <c r="CO24" s="10">
        <v>2029.7605339391878</v>
      </c>
      <c r="CP24" s="10">
        <v>1378.5760195736007</v>
      </c>
      <c r="CQ24" s="10">
        <v>1372.0399951586162</v>
      </c>
      <c r="CR24" s="10">
        <v>4111.459754675453</v>
      </c>
      <c r="CS24" s="10">
        <v>4182.8523387983714</v>
      </c>
      <c r="CT24" s="10">
        <v>4344.5862227413718</v>
      </c>
      <c r="CU24" s="10">
        <v>2309.9233657875375</v>
      </c>
      <c r="CV24" s="10">
        <v>101.22047916995555</v>
      </c>
      <c r="CW24" s="10">
        <v>226.45634355895271</v>
      </c>
      <c r="CX24" s="10">
        <v>460.02509355895273</v>
      </c>
      <c r="CY24" s="10">
        <v>966.85658215649596</v>
      </c>
      <c r="CZ24" s="10">
        <v>3259.0813150534905</v>
      </c>
      <c r="DA24" s="10">
        <v>1753.7065740343246</v>
      </c>
      <c r="DB24" s="10">
        <v>6.1743178064911416E-5</v>
      </c>
      <c r="DC24" s="10"/>
      <c r="DD24" s="10">
        <v>7388.12827767413</v>
      </c>
      <c r="DE24" s="10">
        <v>1455.767514134242</v>
      </c>
      <c r="DF24" s="10">
        <v>1355.8142433916657</v>
      </c>
      <c r="DG24" s="10">
        <v>1481.8762997374035</v>
      </c>
      <c r="DH24" s="10">
        <v>1811.024857601544</v>
      </c>
      <c r="DI24" s="10">
        <v>1734.4566156373523</v>
      </c>
      <c r="DJ24" s="10">
        <v>1654.2797015916503</v>
      </c>
      <c r="DK24" s="10">
        <v>1927.0913250857375</v>
      </c>
      <c r="DL24" s="10">
        <v>1552.7810797294499</v>
      </c>
      <c r="DM24" s="10">
        <v>958.51259964871042</v>
      </c>
      <c r="DN24" s="10">
        <v>942.14541168271967</v>
      </c>
      <c r="DO24" s="10">
        <v>1282.8855065708181</v>
      </c>
      <c r="DP24" s="10">
        <v>110.59423343051348</v>
      </c>
      <c r="DQ24" s="10">
        <v>72.71565280880732</v>
      </c>
      <c r="DR24" s="10">
        <v>308.19938841102072</v>
      </c>
      <c r="DS24" s="10">
        <v>4.8241381663957679</v>
      </c>
      <c r="DT24" s="10"/>
      <c r="DU24" s="10">
        <v>6532.2015624985133</v>
      </c>
      <c r="DV24" s="10">
        <v>817.68778316347482</v>
      </c>
      <c r="DW24" s="10">
        <v>1412.2806473361529</v>
      </c>
      <c r="DX24" s="10">
        <v>1872.6541626437941</v>
      </c>
      <c r="DY24" s="10">
        <v>1493.9355909263868</v>
      </c>
      <c r="DZ24" s="10">
        <v>1269.990873650042</v>
      </c>
      <c r="EA24" s="10">
        <v>1396.3458487956659</v>
      </c>
      <c r="EB24" s="10">
        <v>3023.9653141164904</v>
      </c>
      <c r="EC24" s="10">
        <v>3045.169959176234</v>
      </c>
      <c r="ED24" s="10">
        <v>635.14512223741735</v>
      </c>
      <c r="EE24" s="10">
        <v>937.19687215491513</v>
      </c>
      <c r="EF24" s="10">
        <v>921.68572290182794</v>
      </c>
      <c r="EG24" s="10">
        <v>118.6919249248745</v>
      </c>
      <c r="EH24" s="10">
        <v>280.65437669151561</v>
      </c>
      <c r="EI24" s="10">
        <v>92.532111449973712</v>
      </c>
      <c r="EJ24" s="10">
        <v>11.111121532727971</v>
      </c>
      <c r="EL24" s="21" t="b">
        <v>1</v>
      </c>
      <c r="EM24" s="21" t="b">
        <v>1</v>
      </c>
      <c r="EN24" s="21" t="b">
        <v>1</v>
      </c>
      <c r="EO24" s="21" t="b">
        <v>1</v>
      </c>
      <c r="EP24" s="21" t="b">
        <v>1</v>
      </c>
      <c r="EQ24" s="21" t="b">
        <v>1</v>
      </c>
      <c r="ER24" s="21" t="b">
        <v>0</v>
      </c>
      <c r="ES24" s="21" t="b">
        <v>1</v>
      </c>
      <c r="ET24" s="21" t="b">
        <v>1</v>
      </c>
      <c r="EU24" s="21" t="b">
        <v>1</v>
      </c>
      <c r="EV24" s="21" t="b">
        <v>1</v>
      </c>
      <c r="EW24" s="21" t="b">
        <v>1</v>
      </c>
      <c r="EX24" s="21" t="b">
        <v>1</v>
      </c>
      <c r="EY24" s="21" t="b">
        <v>1</v>
      </c>
      <c r="EZ24" s="21" t="b">
        <v>1</v>
      </c>
      <c r="FA24" s="21" t="b">
        <v>1</v>
      </c>
      <c r="FC24" s="21" t="b">
        <v>0</v>
      </c>
      <c r="FD24" s="21" t="b">
        <v>1</v>
      </c>
      <c r="FE24" s="21" t="b">
        <v>0</v>
      </c>
      <c r="FF24" s="21" t="b">
        <v>1</v>
      </c>
      <c r="FG24" s="21" t="b">
        <v>1</v>
      </c>
      <c r="FH24" s="21" t="b">
        <v>1</v>
      </c>
      <c r="FI24" s="21" t="b">
        <v>1</v>
      </c>
      <c r="FJ24" s="21" t="b">
        <v>1</v>
      </c>
      <c r="FK24" s="21" t="b">
        <v>1</v>
      </c>
      <c r="FL24" s="21" t="b">
        <v>1</v>
      </c>
      <c r="FM24" s="21" t="b">
        <v>1</v>
      </c>
      <c r="FN24" s="21" t="b">
        <v>1</v>
      </c>
      <c r="FO24" s="21" t="b">
        <v>1</v>
      </c>
      <c r="FP24" s="21" t="b">
        <v>1</v>
      </c>
      <c r="FQ24" s="21" t="b">
        <v>1</v>
      </c>
      <c r="FR24" s="21" t="b">
        <v>1</v>
      </c>
    </row>
    <row r="25" spans="1:176" x14ac:dyDescent="0.25">
      <c r="A25" t="str">
        <f t="shared" si="0"/>
        <v xml:space="preserve">Dec 2015 </v>
      </c>
      <c r="B25" s="2">
        <v>42369</v>
      </c>
      <c r="C25" s="11">
        <v>2.8</v>
      </c>
      <c r="D25" s="18">
        <v>14179.000000000002</v>
      </c>
      <c r="E25" s="11"/>
      <c r="F25" s="10">
        <v>-7952.2962381605848</v>
      </c>
      <c r="G25" s="10">
        <v>1461.1123439090748</v>
      </c>
      <c r="H25" s="10">
        <v>-272.64830092200896</v>
      </c>
      <c r="I25" s="10">
        <v>3699.1966530304685</v>
      </c>
      <c r="J25" s="10">
        <v>9591.5953377926871</v>
      </c>
      <c r="K25" s="10">
        <v>6182.6002091381042</v>
      </c>
      <c r="L25" s="10">
        <v>650.105550992546</v>
      </c>
      <c r="M25" s="10">
        <v>-1835.2886085990933</v>
      </c>
      <c r="N25" s="10">
        <v>1507.3336761062526</v>
      </c>
      <c r="O25" s="10">
        <v>1455.0312362893569</v>
      </c>
      <c r="P25" s="10">
        <v>1303.2498084371528</v>
      </c>
      <c r="Q25" s="10">
        <v>1969.2317968397381</v>
      </c>
      <c r="R25" s="10">
        <v>-233.53045128520864</v>
      </c>
      <c r="S25" s="10">
        <v>-2904.2007838943427</v>
      </c>
      <c r="T25" s="10">
        <v>860.90555968420927</v>
      </c>
      <c r="U25" s="10">
        <v>366.86495827495514</v>
      </c>
      <c r="V25" s="20"/>
      <c r="W25" s="10">
        <v>1768.533625200077</v>
      </c>
      <c r="X25" s="10">
        <v>685.1726116830705</v>
      </c>
      <c r="Y25" s="10">
        <v>-1400.9237230578642</v>
      </c>
      <c r="Z25" s="10">
        <v>52.683573788759759</v>
      </c>
      <c r="AA25" s="10">
        <v>79.670936291012822</v>
      </c>
      <c r="AB25" s="10">
        <v>185.91950620984659</v>
      </c>
      <c r="AC25" s="10">
        <v>12.012165249622957</v>
      </c>
      <c r="AD25" s="10">
        <v>-1435.5123310674285</v>
      </c>
      <c r="AE25" s="10">
        <v>-1258.5571668704822</v>
      </c>
      <c r="AF25" s="10">
        <v>277.67808085801761</v>
      </c>
      <c r="AG25" s="10">
        <v>129.0501220772575</v>
      </c>
      <c r="AH25" s="10">
        <v>314.41009250263926</v>
      </c>
      <c r="AI25" s="10">
        <v>-85.170108067440324</v>
      </c>
      <c r="AJ25" s="10">
        <v>-222.93231497694168</v>
      </c>
      <c r="AK25" s="10">
        <v>187.14165475192831</v>
      </c>
      <c r="AL25" s="10">
        <v>-18.309799098302776</v>
      </c>
      <c r="AM25" s="2"/>
      <c r="AN25" s="19">
        <v>4.5325218284540308E-2</v>
      </c>
      <c r="AO25" s="19">
        <v>4.9177298407806873E-2</v>
      </c>
      <c r="AP25" s="19">
        <v>5.2012429378531067E-2</v>
      </c>
      <c r="AQ25" s="19">
        <v>5.2062649089767724E-2</v>
      </c>
      <c r="AR25" s="19">
        <v>5.2181920903954793E-2</v>
      </c>
      <c r="AS25" s="19">
        <v>5.2690395480225985E-2</v>
      </c>
      <c r="AT25" s="19">
        <v>5.4071243554174392E-2</v>
      </c>
      <c r="AU25" s="19">
        <v>5.5452091628122799E-2</v>
      </c>
      <c r="AV25" s="19">
        <v>5.6832939702071206E-2</v>
      </c>
      <c r="AW25" s="19">
        <v>5.8213787776019613E-2</v>
      </c>
      <c r="AX25" s="19">
        <v>5.959463584996802E-2</v>
      </c>
      <c r="AY25" s="19">
        <v>6.0975483923916426E-2</v>
      </c>
      <c r="AZ25" s="19">
        <v>6.235633199786484E-2</v>
      </c>
      <c r="BA25" s="19">
        <v>6.373718007181324E-2</v>
      </c>
      <c r="BB25" s="19">
        <v>7.1269429611213089E-2</v>
      </c>
      <c r="BC25" s="19">
        <v>8.2986412301906176E-2</v>
      </c>
      <c r="BD25" s="2"/>
      <c r="BE25" s="19">
        <v>2.33685E-2</v>
      </c>
      <c r="BF25" s="19">
        <v>2.6968499999999999E-2</v>
      </c>
      <c r="BG25" s="19">
        <v>3.0568500000000002E-2</v>
      </c>
      <c r="BH25" s="19">
        <v>3.6608500000000009E-2</v>
      </c>
      <c r="BI25" s="19">
        <v>4.0158499999999993E-2</v>
      </c>
      <c r="BJ25" s="19">
        <v>4.5078499999999994E-2</v>
      </c>
      <c r="BK25" s="19">
        <v>4.3320318793369061E-2</v>
      </c>
      <c r="BL25" s="19">
        <v>4.3820594599254914E-2</v>
      </c>
      <c r="BM25" s="19">
        <v>4.4720778874706824E-2</v>
      </c>
      <c r="BN25" s="19">
        <v>4.5804523820013765E-2</v>
      </c>
      <c r="BO25" s="19">
        <v>4.2682763198797602E-2</v>
      </c>
      <c r="BP25" s="19">
        <v>4.4840560253648132E-2</v>
      </c>
      <c r="BQ25" s="19">
        <v>4.7059404061882359E-2</v>
      </c>
      <c r="BR25" s="19">
        <v>4.9192901144117673E-2</v>
      </c>
      <c r="BS25" s="19">
        <v>5.5971357084680588E-2</v>
      </c>
      <c r="BT25" s="19">
        <v>6.4251567038582147E-2</v>
      </c>
      <c r="BU25" s="2"/>
      <c r="BV25" s="10">
        <v>6173.5672964735513</v>
      </c>
      <c r="BW25" s="10">
        <v>2468.7482744172316</v>
      </c>
      <c r="BX25" s="10">
        <v>1854.3584907651314</v>
      </c>
      <c r="BY25" s="10">
        <v>5199.1567679545242</v>
      </c>
      <c r="BZ25" s="10">
        <v>11176.351147511245</v>
      </c>
      <c r="CA25" s="10">
        <v>10905.140064082279</v>
      </c>
      <c r="CB25" s="10">
        <v>4491.164630133424</v>
      </c>
      <c r="CC25" s="10">
        <v>2688.3554134249334</v>
      </c>
      <c r="CD25" s="10">
        <v>3925.8145775199669</v>
      </c>
      <c r="CE25" s="10">
        <v>1708.6484779199582</v>
      </c>
      <c r="CF25" s="10">
        <v>1782.2671781940758</v>
      </c>
      <c r="CG25" s="10">
        <v>2026.3238193744389</v>
      </c>
      <c r="CH25" s="10">
        <v>771.00791643592163</v>
      </c>
      <c r="CI25" s="10">
        <v>643.04005244861696</v>
      </c>
      <c r="CJ25" s="10">
        <v>2651.4931240041251</v>
      </c>
      <c r="CK25" s="10">
        <v>366.86503166041257</v>
      </c>
      <c r="CL25" s="10"/>
      <c r="CM25" s="10">
        <v>14125.863534634136</v>
      </c>
      <c r="CN25" s="10">
        <v>1007.6359305081569</v>
      </c>
      <c r="CO25" s="10">
        <v>2127.0067916871403</v>
      </c>
      <c r="CP25" s="10">
        <v>1499.9601149240557</v>
      </c>
      <c r="CQ25" s="10">
        <v>1584.7558097185579</v>
      </c>
      <c r="CR25" s="10">
        <v>4722.5398549441752</v>
      </c>
      <c r="CS25" s="10">
        <v>3841.0590791408781</v>
      </c>
      <c r="CT25" s="10">
        <v>4523.6440220240265</v>
      </c>
      <c r="CU25" s="10">
        <v>2418.4809014137145</v>
      </c>
      <c r="CV25" s="10">
        <v>253.61724163060128</v>
      </c>
      <c r="CW25" s="10">
        <v>479.01736975692302</v>
      </c>
      <c r="CX25" s="10">
        <v>57.092022534700796</v>
      </c>
      <c r="CY25" s="10">
        <v>1004.5383677211303</v>
      </c>
      <c r="CZ25" s="10">
        <v>3547.2408363429595</v>
      </c>
      <c r="DA25" s="10">
        <v>1790.5875643199158</v>
      </c>
      <c r="DB25" s="10">
        <v>7.3385457411876811E-5</v>
      </c>
      <c r="DC25" s="10"/>
      <c r="DD25" s="10">
        <v>7326.7861809411497</v>
      </c>
      <c r="DE25" s="10">
        <v>1618.5002595589165</v>
      </c>
      <c r="DF25" s="10">
        <v>1391.1738861522099</v>
      </c>
      <c r="DG25" s="10">
        <v>1613.9689876763173</v>
      </c>
      <c r="DH25" s="10">
        <v>1800.3613521114032</v>
      </c>
      <c r="DI25" s="10">
        <v>1809.146685819273</v>
      </c>
      <c r="DJ25" s="10">
        <v>1835.0472351463789</v>
      </c>
      <c r="DK25" s="10">
        <v>1864.7092499990044</v>
      </c>
      <c r="DL25" s="10">
        <v>1527.5986914915854</v>
      </c>
      <c r="DM25" s="10">
        <v>942.74681752248171</v>
      </c>
      <c r="DN25" s="10">
        <v>1046.4902108053011</v>
      </c>
      <c r="DO25" s="10">
        <v>1236.2234992579879</v>
      </c>
      <c r="DP25" s="10">
        <v>103.50352737073608</v>
      </c>
      <c r="DQ25" s="10">
        <v>69.549176676836481</v>
      </c>
      <c r="DR25" s="10">
        <v>315.40385686808219</v>
      </c>
      <c r="DS25" s="10">
        <v>3.9124335455363073</v>
      </c>
      <c r="DT25" s="10"/>
      <c r="DU25" s="10">
        <v>5558.2525557410727</v>
      </c>
      <c r="DV25" s="10">
        <v>933.32764787584597</v>
      </c>
      <c r="DW25" s="10">
        <v>2792.0976092100741</v>
      </c>
      <c r="DX25" s="10">
        <v>1561.2854138875575</v>
      </c>
      <c r="DY25" s="10">
        <v>1720.6904158203904</v>
      </c>
      <c r="DZ25" s="10">
        <v>1623.2271796094262</v>
      </c>
      <c r="EA25" s="10">
        <v>1823.0350698967559</v>
      </c>
      <c r="EB25" s="10">
        <v>3300.2215810664329</v>
      </c>
      <c r="EC25" s="10">
        <v>2786.1558583620681</v>
      </c>
      <c r="ED25" s="10">
        <v>665.06873666446415</v>
      </c>
      <c r="EE25" s="10">
        <v>917.44008872804352</v>
      </c>
      <c r="EF25" s="10">
        <v>921.81340675534875</v>
      </c>
      <c r="EG25" s="10">
        <v>188.6736354381764</v>
      </c>
      <c r="EH25" s="10">
        <v>292.48149165377816</v>
      </c>
      <c r="EI25" s="10">
        <v>128.26220211615387</v>
      </c>
      <c r="EJ25" s="10">
        <v>22.222232643839082</v>
      </c>
      <c r="EL25" s="21" t="b">
        <v>1</v>
      </c>
      <c r="EM25" s="21" t="b">
        <v>1</v>
      </c>
      <c r="EN25" s="21" t="b">
        <v>1</v>
      </c>
      <c r="EO25" s="21" t="b">
        <v>1</v>
      </c>
      <c r="EP25" s="21" t="b">
        <v>1</v>
      </c>
      <c r="EQ25" s="21" t="b">
        <v>1</v>
      </c>
      <c r="ER25" s="21" t="b">
        <v>1</v>
      </c>
      <c r="ES25" s="21" t="b">
        <v>1</v>
      </c>
      <c r="ET25" s="21" t="b">
        <v>1</v>
      </c>
      <c r="EU25" s="21" t="b">
        <v>1</v>
      </c>
      <c r="EV25" s="21" t="b">
        <v>1</v>
      </c>
      <c r="EW25" s="21" t="b">
        <v>1</v>
      </c>
      <c r="EX25" s="21" t="b">
        <v>1</v>
      </c>
      <c r="EY25" s="21" t="b">
        <v>1</v>
      </c>
      <c r="EZ25" s="21" t="b">
        <v>1</v>
      </c>
      <c r="FA25" s="21" t="b">
        <v>1</v>
      </c>
      <c r="FC25" s="21" t="b">
        <v>1</v>
      </c>
      <c r="FD25" s="21" t="b">
        <v>1</v>
      </c>
      <c r="FE25" s="21" t="b">
        <v>1</v>
      </c>
      <c r="FF25" s="21" t="b">
        <v>1</v>
      </c>
      <c r="FG25" s="21" t="b">
        <v>1</v>
      </c>
      <c r="FH25" s="21" t="b">
        <v>1</v>
      </c>
      <c r="FI25" s="21" t="b">
        <v>1</v>
      </c>
      <c r="FJ25" s="21" t="b">
        <v>1</v>
      </c>
      <c r="FK25" s="21" t="b">
        <v>1</v>
      </c>
      <c r="FL25" s="21" t="b">
        <v>1</v>
      </c>
      <c r="FM25" s="21" t="b">
        <v>0</v>
      </c>
      <c r="FN25" s="21" t="b">
        <v>1</v>
      </c>
      <c r="FO25" s="21" t="b">
        <v>1</v>
      </c>
      <c r="FP25" s="21" t="b">
        <v>1</v>
      </c>
      <c r="FQ25" s="21" t="b">
        <v>1</v>
      </c>
      <c r="FR25" s="21" t="b">
        <v>1</v>
      </c>
    </row>
    <row r="26" spans="1:176" x14ac:dyDescent="0.25">
      <c r="A26" t="str">
        <f t="shared" si="0"/>
        <v xml:space="preserve">Mar 2016 </v>
      </c>
      <c r="B26" s="2">
        <v>42460</v>
      </c>
      <c r="C26" s="11">
        <v>2.8</v>
      </c>
      <c r="D26" s="18">
        <v>14583.500000000002</v>
      </c>
      <c r="E26" s="11"/>
      <c r="F26" s="10">
        <v>-8087.2263570818359</v>
      </c>
      <c r="G26" s="10">
        <v>1961.7559388738232</v>
      </c>
      <c r="H26" s="10">
        <v>229.62714632711231</v>
      </c>
      <c r="I26" s="10">
        <v>8189.040376205995</v>
      </c>
      <c r="J26" s="10">
        <v>4856.7965638982078</v>
      </c>
      <c r="K26" s="10">
        <v>6440.9510967217311</v>
      </c>
      <c r="L26" s="10">
        <v>601.02060284483571</v>
      </c>
      <c r="M26" s="10">
        <v>-1822.8931770743736</v>
      </c>
      <c r="N26" s="10">
        <v>1522.8742606178337</v>
      </c>
      <c r="O26" s="10">
        <v>1526.5304372766068</v>
      </c>
      <c r="P26" s="10">
        <v>1665.8598220828253</v>
      </c>
      <c r="Q26" s="10">
        <v>1856.9809638214524</v>
      </c>
      <c r="R26" s="10">
        <v>-239.73458883042372</v>
      </c>
      <c r="S26" s="10">
        <v>-2852.4601895261881</v>
      </c>
      <c r="T26" s="10">
        <v>796.93172773566039</v>
      </c>
      <c r="U26" s="10">
        <v>360.79107404979015</v>
      </c>
      <c r="V26" s="20"/>
      <c r="W26" s="10">
        <v>1503.0137162147398</v>
      </c>
      <c r="X26" s="10">
        <v>587.93196366702387</v>
      </c>
      <c r="Y26" s="10">
        <v>-291.95227868715642</v>
      </c>
      <c r="Z26" s="10">
        <v>-209.89477288889873</v>
      </c>
      <c r="AA26" s="10">
        <v>265.28074609041761</v>
      </c>
      <c r="AB26" s="10">
        <v>-12.811009944812863</v>
      </c>
      <c r="AC26" s="10">
        <v>552.64951173420081</v>
      </c>
      <c r="AD26" s="10">
        <v>-1830.9312263488514</v>
      </c>
      <c r="AE26" s="10">
        <v>-1264.5998487403933</v>
      </c>
      <c r="AF26" s="10">
        <v>286.27705055627223</v>
      </c>
      <c r="AG26" s="10">
        <v>207.62157165502177</v>
      </c>
      <c r="AH26" s="10">
        <v>229.15964786661866</v>
      </c>
      <c r="AI26" s="10">
        <v>-154.24774113336554</v>
      </c>
      <c r="AJ26" s="10">
        <v>-223.67663900181708</v>
      </c>
      <c r="AK26" s="10">
        <v>159.25166858625212</v>
      </c>
      <c r="AL26" s="10">
        <v>-30.234250386875349</v>
      </c>
      <c r="AM26" s="2"/>
      <c r="AN26" s="19">
        <v>4.6918727529532606E-2</v>
      </c>
      <c r="AO26" s="19">
        <v>5.0103113764766297E-2</v>
      </c>
      <c r="AP26" s="19">
        <v>5.2270550847457624E-2</v>
      </c>
      <c r="AQ26" s="19">
        <v>5.2399238857501564E-2</v>
      </c>
      <c r="AR26" s="19">
        <v>5.25106638418079E-2</v>
      </c>
      <c r="AS26" s="19">
        <v>5.2892019774011298E-2</v>
      </c>
      <c r="AT26" s="19">
        <v>5.4280160512365429E-2</v>
      </c>
      <c r="AU26" s="19">
        <v>5.5668301250719567E-2</v>
      </c>
      <c r="AV26" s="19">
        <v>5.7056441989073711E-2</v>
      </c>
      <c r="AW26" s="19">
        <v>5.8444582727427849E-2</v>
      </c>
      <c r="AX26" s="19">
        <v>5.9832723465781987E-2</v>
      </c>
      <c r="AY26" s="19">
        <v>6.1220864204136125E-2</v>
      </c>
      <c r="AZ26" s="19">
        <v>6.2609004942490262E-2</v>
      </c>
      <c r="BA26" s="19">
        <v>6.3997145680844386E-2</v>
      </c>
      <c r="BB26" s="19">
        <v>7.1720946525423809E-2</v>
      </c>
      <c r="BC26" s="19">
        <v>8.3237983248743763E-2</v>
      </c>
      <c r="BD26" s="2"/>
      <c r="BE26" s="19">
        <v>2.5507541666666668E-2</v>
      </c>
      <c r="BF26" s="19">
        <v>2.8990874999999999E-2</v>
      </c>
      <c r="BG26" s="19">
        <v>3.2474208333333331E-2</v>
      </c>
      <c r="BH26" s="19">
        <v>3.7614208333333343E-2</v>
      </c>
      <c r="BI26" s="19">
        <v>4.1439208333333324E-2</v>
      </c>
      <c r="BJ26" s="19">
        <v>4.8534208333333329E-2</v>
      </c>
      <c r="BK26" s="19">
        <v>4.5376668673785259E-2</v>
      </c>
      <c r="BL26" s="19">
        <v>4.5751289667998296E-2</v>
      </c>
      <c r="BM26" s="19">
        <v>4.652639721616697E-2</v>
      </c>
      <c r="BN26" s="19">
        <v>4.7485191680325334E-2</v>
      </c>
      <c r="BO26" s="19">
        <v>4.4730331233497345E-2</v>
      </c>
      <c r="BP26" s="19">
        <v>4.6728061100474338E-2</v>
      </c>
      <c r="BQ26" s="19">
        <v>4.8793882636801678E-2</v>
      </c>
      <c r="BR26" s="19">
        <v>5.0769429006466305E-2</v>
      </c>
      <c r="BS26" s="19">
        <v>5.6957546559441685E-2</v>
      </c>
      <c r="BT26" s="19">
        <v>6.4673893434371188E-2</v>
      </c>
      <c r="BU26" s="2"/>
      <c r="BV26" s="10">
        <v>6376.3987126551319</v>
      </c>
      <c r="BW26" s="10">
        <v>3000.0077162745783</v>
      </c>
      <c r="BX26" s="10">
        <v>2414.8238988617345</v>
      </c>
      <c r="BY26" s="10">
        <v>9588.1469893419544</v>
      </c>
      <c r="BZ26" s="10">
        <v>6492.0747824658256</v>
      </c>
      <c r="CA26" s="10">
        <v>11296.301142064811</v>
      </c>
      <c r="CB26" s="10">
        <v>4519.0791645531845</v>
      </c>
      <c r="CC26" s="10">
        <v>2810.1650955106502</v>
      </c>
      <c r="CD26" s="10">
        <v>3977.9300599484632</v>
      </c>
      <c r="CE26" s="10">
        <v>1780.9002998204774</v>
      </c>
      <c r="CF26" s="10">
        <v>2148.1717206717963</v>
      </c>
      <c r="CG26" s="10">
        <v>1917.4498907414334</v>
      </c>
      <c r="CH26" s="10">
        <v>789.87114484724475</v>
      </c>
      <c r="CI26" s="10">
        <v>663.19158151040472</v>
      </c>
      <c r="CJ26" s="10">
        <v>2638.199219982027</v>
      </c>
      <c r="CK26" s="10">
        <v>360.7911422530857</v>
      </c>
      <c r="CL26" s="10"/>
      <c r="CM26" s="10">
        <v>14463.625069736969</v>
      </c>
      <c r="CN26" s="10">
        <v>1038.2517774007551</v>
      </c>
      <c r="CO26" s="10">
        <v>2185.1967525346222</v>
      </c>
      <c r="CP26" s="10">
        <v>1399.1066131359587</v>
      </c>
      <c r="CQ26" s="10">
        <v>1635.2782185676178</v>
      </c>
      <c r="CR26" s="10">
        <v>4855.3500453430797</v>
      </c>
      <c r="CS26" s="10">
        <v>3918.0585617083489</v>
      </c>
      <c r="CT26" s="10">
        <v>4633.0582725850236</v>
      </c>
      <c r="CU26" s="10">
        <v>2455.0557993306293</v>
      </c>
      <c r="CV26" s="10">
        <v>254.36986254387045</v>
      </c>
      <c r="CW26" s="10">
        <v>482.31189858897085</v>
      </c>
      <c r="CX26" s="10">
        <v>60.468926919981065</v>
      </c>
      <c r="CY26" s="10">
        <v>1029.6057336776685</v>
      </c>
      <c r="CZ26" s="10">
        <v>3515.6517710365929</v>
      </c>
      <c r="DA26" s="10">
        <v>1841.2674922463666</v>
      </c>
      <c r="DB26" s="10">
        <v>6.8203295551810318E-5</v>
      </c>
      <c r="DC26" s="10"/>
      <c r="DD26" s="10">
        <v>7971.0441076975449</v>
      </c>
      <c r="DE26" s="10">
        <v>1454.0499632627784</v>
      </c>
      <c r="DF26" s="10">
        <v>1455.0948607193886</v>
      </c>
      <c r="DG26" s="10">
        <v>1864.2558008040639</v>
      </c>
      <c r="DH26" s="10">
        <v>1569.8674390515653</v>
      </c>
      <c r="DI26" s="10">
        <v>1846.4103876900415</v>
      </c>
      <c r="DJ26" s="10">
        <v>2270.2020296565033</v>
      </c>
      <c r="DK26" s="10">
        <v>1460.8273202646146</v>
      </c>
      <c r="DL26" s="10">
        <v>1526.7281944022288</v>
      </c>
      <c r="DM26" s="10">
        <v>1007.8152157348305</v>
      </c>
      <c r="DN26" s="10">
        <v>1118.2750229590783</v>
      </c>
      <c r="DO26" s="10">
        <v>1151.2935205118692</v>
      </c>
      <c r="DP26" s="10">
        <v>102.52956872753559</v>
      </c>
      <c r="DQ26" s="10">
        <v>69.500363766656093</v>
      </c>
      <c r="DR26" s="10">
        <v>322.86775184288973</v>
      </c>
      <c r="DS26" s="10">
        <v>3.0990933652219508</v>
      </c>
      <c r="DT26" s="10"/>
      <c r="DU26" s="10">
        <v>6468.0303914828055</v>
      </c>
      <c r="DV26" s="10">
        <v>866.11799959575467</v>
      </c>
      <c r="DW26" s="10">
        <v>1747.0471394065451</v>
      </c>
      <c r="DX26" s="10">
        <v>2074.1505736929626</v>
      </c>
      <c r="DY26" s="10">
        <v>1304.5866929611477</v>
      </c>
      <c r="DZ26" s="10">
        <v>1859.2213976348542</v>
      </c>
      <c r="EA26" s="10">
        <v>1717.5525179223023</v>
      </c>
      <c r="EB26" s="10">
        <v>3291.758546613466</v>
      </c>
      <c r="EC26" s="10">
        <v>2791.3280431426224</v>
      </c>
      <c r="ED26" s="10">
        <v>721.5381651785583</v>
      </c>
      <c r="EE26" s="10">
        <v>910.65345130405649</v>
      </c>
      <c r="EF26" s="10">
        <v>922.13387264525056</v>
      </c>
      <c r="EG26" s="10">
        <v>256.77730986090114</v>
      </c>
      <c r="EH26" s="10">
        <v>293.17700276847319</v>
      </c>
      <c r="EI26" s="10">
        <v>163.61608325663761</v>
      </c>
      <c r="EJ26" s="10">
        <v>33.333343752097299</v>
      </c>
      <c r="EL26" s="21" t="b">
        <v>1</v>
      </c>
      <c r="EM26" s="21" t="b">
        <v>1</v>
      </c>
      <c r="EN26" s="21" t="b">
        <v>1</v>
      </c>
      <c r="EO26" s="21" t="b">
        <v>1</v>
      </c>
      <c r="EP26" s="21" t="b">
        <v>1</v>
      </c>
      <c r="EQ26" s="21" t="b">
        <v>1</v>
      </c>
      <c r="ER26" s="21" t="b">
        <v>1</v>
      </c>
      <c r="ES26" s="21" t="b">
        <v>1</v>
      </c>
      <c r="ET26" s="21" t="b">
        <v>1</v>
      </c>
      <c r="EU26" s="21" t="b">
        <v>1</v>
      </c>
      <c r="EV26" s="21" t="b">
        <v>1</v>
      </c>
      <c r="EW26" s="21" t="b">
        <v>1</v>
      </c>
      <c r="EX26" s="21" t="b">
        <v>1</v>
      </c>
      <c r="EY26" s="21" t="b">
        <v>1</v>
      </c>
      <c r="EZ26" s="21" t="b">
        <v>1</v>
      </c>
      <c r="FA26" s="21" t="b">
        <v>1</v>
      </c>
      <c r="FC26" s="21" t="b">
        <v>1</v>
      </c>
      <c r="FD26" s="21" t="b">
        <v>1</v>
      </c>
      <c r="FE26" s="21" t="b">
        <v>1</v>
      </c>
      <c r="FF26" s="21" t="b">
        <v>1</v>
      </c>
      <c r="FG26" s="21" t="b">
        <v>1</v>
      </c>
      <c r="FH26" s="21" t="b">
        <v>0</v>
      </c>
      <c r="FI26" s="21" t="b">
        <v>1</v>
      </c>
      <c r="FJ26" s="21" t="b">
        <v>1</v>
      </c>
      <c r="FK26" s="21" t="b">
        <v>1</v>
      </c>
      <c r="FL26" s="21" t="b">
        <v>1</v>
      </c>
      <c r="FM26" s="21" t="b">
        <v>1</v>
      </c>
      <c r="FN26" s="21" t="b">
        <v>1</v>
      </c>
      <c r="FO26" s="21" t="b">
        <v>1</v>
      </c>
      <c r="FP26" s="21" t="b">
        <v>1</v>
      </c>
      <c r="FQ26" s="21" t="b">
        <v>1</v>
      </c>
      <c r="FR26" s="21" t="b">
        <v>1</v>
      </c>
    </row>
    <row r="27" spans="1:176" x14ac:dyDescent="0.25">
      <c r="A27" t="str">
        <f t="shared" si="0"/>
        <v xml:space="preserve">Jun 2016 </v>
      </c>
      <c r="B27" s="2">
        <v>42551</v>
      </c>
      <c r="C27" s="11">
        <v>2.8</v>
      </c>
      <c r="D27" s="18">
        <v>14988</v>
      </c>
      <c r="E27" s="11"/>
      <c r="F27" s="10">
        <v>-4731.3191648440961</v>
      </c>
      <c r="G27" s="10">
        <v>3150.6719668195265</v>
      </c>
      <c r="H27" s="10">
        <v>-111.99689507653147</v>
      </c>
      <c r="I27" s="10">
        <v>3125.3255879660751</v>
      </c>
      <c r="J27" s="10">
        <v>6468.4748583743722</v>
      </c>
      <c r="K27" s="10">
        <v>6215.4723830779703</v>
      </c>
      <c r="L27" s="10">
        <v>535.68585387401492</v>
      </c>
      <c r="M27" s="10">
        <v>-1887.9963127498074</v>
      </c>
      <c r="N27" s="10">
        <v>1534.8594592156865</v>
      </c>
      <c r="O27" s="10">
        <v>1541.9086013997169</v>
      </c>
      <c r="P27" s="10">
        <v>1934.6219968580986</v>
      </c>
      <c r="Q27" s="10">
        <v>915.52508520618278</v>
      </c>
      <c r="R27" s="10">
        <v>622.59794196190285</v>
      </c>
      <c r="S27" s="10">
        <v>-3116.4417566634652</v>
      </c>
      <c r="T27" s="10">
        <v>734.62013372254182</v>
      </c>
      <c r="U27" s="10">
        <v>355.20602348653057</v>
      </c>
      <c r="V27" s="20"/>
      <c r="W27" s="10">
        <v>2163.3671670680533</v>
      </c>
      <c r="X27" s="10">
        <v>488.20854972598454</v>
      </c>
      <c r="Y27" s="10">
        <v>-1375.1567367513253</v>
      </c>
      <c r="Z27" s="10">
        <v>-133.43907251496114</v>
      </c>
      <c r="AA27" s="10">
        <v>534.38253488902865</v>
      </c>
      <c r="AB27" s="10">
        <v>117.710843035067</v>
      </c>
      <c r="AC27" s="10">
        <v>689.83034075362627</v>
      </c>
      <c r="AD27" s="10">
        <v>-2155.9466469538593</v>
      </c>
      <c r="AE27" s="10">
        <v>-1274.2811270402349</v>
      </c>
      <c r="AF27" s="10">
        <v>4.9097684143357156</v>
      </c>
      <c r="AG27" s="10">
        <v>595.160099159433</v>
      </c>
      <c r="AH27" s="10">
        <v>180.44661183787824</v>
      </c>
      <c r="AI27" s="10">
        <v>-202.63380118208556</v>
      </c>
      <c r="AJ27" s="10">
        <v>-235.64973654143154</v>
      </c>
      <c r="AK27" s="10">
        <v>152.97275071751184</v>
      </c>
      <c r="AL27" s="10">
        <v>-30.954101626523411</v>
      </c>
      <c r="AM27" s="2"/>
      <c r="AN27" s="19">
        <v>4.8512236774524903E-2</v>
      </c>
      <c r="AO27" s="19">
        <v>5.1028929121725727E-2</v>
      </c>
      <c r="AP27" s="19">
        <v>5.2528672316384174E-2</v>
      </c>
      <c r="AQ27" s="19">
        <v>5.2735828625235397E-2</v>
      </c>
      <c r="AR27" s="19">
        <v>5.2839406779661008E-2</v>
      </c>
      <c r="AS27" s="19">
        <v>5.3093644067796604E-2</v>
      </c>
      <c r="AT27" s="19">
        <v>5.4489077470556466E-2</v>
      </c>
      <c r="AU27" s="19">
        <v>5.5884510873316334E-2</v>
      </c>
      <c r="AV27" s="19">
        <v>5.727994427607621E-2</v>
      </c>
      <c r="AW27" s="19">
        <v>5.8675377678836078E-2</v>
      </c>
      <c r="AX27" s="19">
        <v>6.0070811081595947E-2</v>
      </c>
      <c r="AY27" s="19">
        <v>6.1466244484355816E-2</v>
      </c>
      <c r="AZ27" s="19">
        <v>6.2861677887115691E-2</v>
      </c>
      <c r="BA27" s="19">
        <v>6.4257111289875546E-2</v>
      </c>
      <c r="BB27" s="19">
        <v>7.2172463439634543E-2</v>
      </c>
      <c r="BC27" s="19">
        <v>8.348955419558135E-2</v>
      </c>
      <c r="BD27" s="2"/>
      <c r="BE27" s="19">
        <v>2.7646583333333336E-2</v>
      </c>
      <c r="BF27" s="19">
        <v>3.1013249999999996E-2</v>
      </c>
      <c r="BG27" s="19">
        <v>3.4379916666666663E-2</v>
      </c>
      <c r="BH27" s="19">
        <v>3.861991666666667E-2</v>
      </c>
      <c r="BI27" s="19">
        <v>4.2719916666666663E-2</v>
      </c>
      <c r="BJ27" s="19">
        <v>5.1989916666666663E-2</v>
      </c>
      <c r="BK27" s="19">
        <v>4.7433018554201456E-2</v>
      </c>
      <c r="BL27" s="19">
        <v>4.7681984736741678E-2</v>
      </c>
      <c r="BM27" s="19">
        <v>4.8332015557627117E-2</v>
      </c>
      <c r="BN27" s="19">
        <v>4.9165859540636903E-2</v>
      </c>
      <c r="BO27" s="19">
        <v>4.6777899268197087E-2</v>
      </c>
      <c r="BP27" s="19">
        <v>4.8615561947300545E-2</v>
      </c>
      <c r="BQ27" s="19">
        <v>5.0528361211720996E-2</v>
      </c>
      <c r="BR27" s="19">
        <v>5.2345956868814936E-2</v>
      </c>
      <c r="BS27" s="19">
        <v>5.7943736034202789E-2</v>
      </c>
      <c r="BT27" s="19">
        <v>6.5096219830160229E-2</v>
      </c>
      <c r="BU27" s="2"/>
      <c r="BV27" s="10">
        <v>10290.74876320122</v>
      </c>
      <c r="BW27" s="10">
        <v>3987.556648451352</v>
      </c>
      <c r="BX27" s="10">
        <v>2159.4760290288896</v>
      </c>
      <c r="BY27" s="10">
        <v>4826.7994863690265</v>
      </c>
      <c r="BZ27" s="10">
        <v>8107.1042640133101</v>
      </c>
      <c r="CA27" s="10">
        <v>11467.312118482081</v>
      </c>
      <c r="CB27" s="10">
        <v>4449.8863979042699</v>
      </c>
      <c r="CC27" s="10">
        <v>2926.0781724058329</v>
      </c>
      <c r="CD27" s="10">
        <v>4091.1429831388614</v>
      </c>
      <c r="CE27" s="10">
        <v>1799.712888788094</v>
      </c>
      <c r="CF27" s="10">
        <v>2415.1379938163968</v>
      </c>
      <c r="CG27" s="10">
        <v>1869.7198732288346</v>
      </c>
      <c r="CH27" s="10">
        <v>808.43094878272848</v>
      </c>
      <c r="CI27" s="10">
        <v>675.90629957781164</v>
      </c>
      <c r="CJ27" s="10">
        <v>2625.8039048513965</v>
      </c>
      <c r="CK27" s="10">
        <v>355.20610247445666</v>
      </c>
      <c r="CL27" s="10"/>
      <c r="CM27" s="10">
        <v>15022.067928045317</v>
      </c>
      <c r="CN27" s="10">
        <v>836.8846816318254</v>
      </c>
      <c r="CO27" s="10">
        <v>2271.472924105421</v>
      </c>
      <c r="CP27" s="10">
        <v>1701.4738984029511</v>
      </c>
      <c r="CQ27" s="10">
        <v>1638.6294056389384</v>
      </c>
      <c r="CR27" s="10">
        <v>5251.8397354041108</v>
      </c>
      <c r="CS27" s="10">
        <v>3914.2005440302551</v>
      </c>
      <c r="CT27" s="10">
        <v>4814.0744851556401</v>
      </c>
      <c r="CU27" s="10">
        <v>2556.2835239231749</v>
      </c>
      <c r="CV27" s="10">
        <v>257.80428738837713</v>
      </c>
      <c r="CW27" s="10">
        <v>480.51599695829816</v>
      </c>
      <c r="CX27" s="10">
        <v>954.19478802265178</v>
      </c>
      <c r="CY27" s="10">
        <v>185.8330068208256</v>
      </c>
      <c r="CZ27" s="10">
        <v>3792.3480562412769</v>
      </c>
      <c r="DA27" s="10">
        <v>1891.1837711288547</v>
      </c>
      <c r="DB27" s="10">
        <v>7.8987926066249694E-5</v>
      </c>
      <c r="DC27" s="10"/>
      <c r="DD27" s="10">
        <v>8143.0943080459474</v>
      </c>
      <c r="DE27" s="10">
        <v>1760.8856217286823</v>
      </c>
      <c r="DF27" s="10">
        <v>1470.9705481089447</v>
      </c>
      <c r="DG27" s="10">
        <v>1590.830990026031</v>
      </c>
      <c r="DH27" s="10">
        <v>1764.8239802894504</v>
      </c>
      <c r="DI27" s="10">
        <v>1999.62161762867</v>
      </c>
      <c r="DJ27" s="10">
        <v>2432.4788226486144</v>
      </c>
      <c r="DK27" s="10">
        <v>1208.4326292948197</v>
      </c>
      <c r="DL27" s="10">
        <v>1556.4445850546203</v>
      </c>
      <c r="DM27" s="10">
        <v>1459.2719473646282</v>
      </c>
      <c r="DN27" s="10">
        <v>1515.1471484005199</v>
      </c>
      <c r="DO27" s="10">
        <v>358.84603942106185</v>
      </c>
      <c r="DP27" s="10">
        <v>81.874356307722465</v>
      </c>
      <c r="DQ27" s="10">
        <v>57.849469072725647</v>
      </c>
      <c r="DR27" s="10">
        <v>329.25219663829421</v>
      </c>
      <c r="DS27" s="10">
        <v>2.3792421255738874</v>
      </c>
      <c r="DT27" s="10"/>
      <c r="DU27" s="10">
        <v>5979.7271409778941</v>
      </c>
      <c r="DV27" s="10">
        <v>1272.6770720026977</v>
      </c>
      <c r="DW27" s="10">
        <v>2846.1272848602703</v>
      </c>
      <c r="DX27" s="10">
        <v>1724.2700625409921</v>
      </c>
      <c r="DY27" s="10">
        <v>1230.4414454004218</v>
      </c>
      <c r="DZ27" s="10">
        <v>1881.9107745936028</v>
      </c>
      <c r="EA27" s="10">
        <v>1742.648481894988</v>
      </c>
      <c r="EB27" s="10">
        <v>3364.3792762486792</v>
      </c>
      <c r="EC27" s="10">
        <v>2830.7257120948552</v>
      </c>
      <c r="ED27" s="10">
        <v>1454.3621789502924</v>
      </c>
      <c r="EE27" s="10">
        <v>919.98704924108688</v>
      </c>
      <c r="EF27" s="10">
        <v>178.39942758318361</v>
      </c>
      <c r="EG27" s="10">
        <v>284.50815748980801</v>
      </c>
      <c r="EH27" s="10">
        <v>293.49920561415718</v>
      </c>
      <c r="EI27" s="10">
        <v>176.27944592078236</v>
      </c>
      <c r="EJ27" s="10">
        <v>33.333343752097299</v>
      </c>
      <c r="EL27" s="21" t="b">
        <v>1</v>
      </c>
      <c r="EM27" s="21" t="b">
        <v>1</v>
      </c>
      <c r="EN27" s="21" t="b">
        <v>1</v>
      </c>
      <c r="EO27" s="21" t="b">
        <v>1</v>
      </c>
      <c r="EP27" s="21" t="b">
        <v>1</v>
      </c>
      <c r="EQ27" s="21" t="b">
        <v>1</v>
      </c>
      <c r="ER27" s="21" t="b">
        <v>1</v>
      </c>
      <c r="ES27" s="21" t="b">
        <v>1</v>
      </c>
      <c r="ET27" s="21" t="b">
        <v>1</v>
      </c>
      <c r="EU27" s="21" t="b">
        <v>1</v>
      </c>
      <c r="EV27" s="21" t="b">
        <v>1</v>
      </c>
      <c r="EW27" s="21" t="b">
        <v>1</v>
      </c>
      <c r="EX27" s="21" t="b">
        <v>1</v>
      </c>
      <c r="EY27" s="21" t="b">
        <v>1</v>
      </c>
      <c r="EZ27" s="21" t="b">
        <v>1</v>
      </c>
      <c r="FA27" s="21" t="b">
        <v>1</v>
      </c>
      <c r="FC27" s="21" t="b">
        <v>1</v>
      </c>
      <c r="FD27" s="21" t="b">
        <v>1</v>
      </c>
      <c r="FE27" s="21" t="b">
        <v>1</v>
      </c>
      <c r="FF27" s="21" t="b">
        <v>1</v>
      </c>
      <c r="FG27" s="21" t="b">
        <v>1</v>
      </c>
      <c r="FH27" s="21" t="b">
        <v>1</v>
      </c>
      <c r="FI27" s="21" t="b">
        <v>1</v>
      </c>
      <c r="FJ27" s="21" t="b">
        <v>1</v>
      </c>
      <c r="FK27" s="21" t="b">
        <v>1</v>
      </c>
      <c r="FL27" s="21" t="b">
        <v>0</v>
      </c>
      <c r="FM27" s="21" t="b">
        <v>1</v>
      </c>
      <c r="FN27" s="21" t="b">
        <v>1</v>
      </c>
      <c r="FO27" s="21" t="b">
        <v>1</v>
      </c>
      <c r="FP27" s="21" t="b">
        <v>1</v>
      </c>
      <c r="FQ27" s="21" t="b">
        <v>1</v>
      </c>
      <c r="FR27" s="21" t="b">
        <v>1</v>
      </c>
    </row>
    <row r="28" spans="1:176" x14ac:dyDescent="0.25">
      <c r="A28" t="str">
        <f t="shared" si="0"/>
        <v xml:space="preserve">Sep 2016 </v>
      </c>
      <c r="B28" s="2">
        <v>42643</v>
      </c>
      <c r="C28" s="11">
        <v>2.8</v>
      </c>
      <c r="D28" s="18">
        <v>15392.5</v>
      </c>
      <c r="E28" s="11"/>
      <c r="F28" s="10">
        <v>-8485.3148859406338</v>
      </c>
      <c r="G28" s="10">
        <v>1766.3495919042157</v>
      </c>
      <c r="H28" s="10">
        <v>327.71599122688121</v>
      </c>
      <c r="I28" s="10">
        <v>3561.556777326196</v>
      </c>
      <c r="J28" s="10">
        <v>11491.038189391331</v>
      </c>
      <c r="K28" s="10">
        <v>4429.1245867849839</v>
      </c>
      <c r="L28" s="10">
        <v>1412.2541537206578</v>
      </c>
      <c r="M28" s="10">
        <v>-455.21353775483556</v>
      </c>
      <c r="N28" s="10">
        <v>342.25623434411636</v>
      </c>
      <c r="O28" s="10">
        <v>1735.7641879833582</v>
      </c>
      <c r="P28" s="10">
        <v>2012.1183162314783</v>
      </c>
      <c r="Q28" s="10">
        <v>774.52636804208601</v>
      </c>
      <c r="R28" s="10">
        <v>644.04779548321096</v>
      </c>
      <c r="S28" s="10">
        <v>-3065.1876386623494</v>
      </c>
      <c r="T28" s="10">
        <v>634.52091615448921</v>
      </c>
      <c r="U28" s="10">
        <v>350.16183098957606</v>
      </c>
      <c r="V28" s="20"/>
      <c r="W28" s="10">
        <v>1790.85855207446</v>
      </c>
      <c r="X28" s="10">
        <v>270.93625977999034</v>
      </c>
      <c r="Y28" s="10">
        <v>-919.6812195426362</v>
      </c>
      <c r="Z28" s="10">
        <v>-118.022690693193</v>
      </c>
      <c r="AA28" s="10">
        <v>739.95085561160295</v>
      </c>
      <c r="AB28" s="10">
        <v>122.15886898522058</v>
      </c>
      <c r="AC28" s="10">
        <v>579.2580134714708</v>
      </c>
      <c r="AD28" s="10">
        <v>-2013.2662630998184</v>
      </c>
      <c r="AE28" s="10">
        <v>-1350.4109744102473</v>
      </c>
      <c r="AF28" s="10">
        <v>118.49538442655211</v>
      </c>
      <c r="AG28" s="10">
        <v>457.97062632684265</v>
      </c>
      <c r="AH28" s="10">
        <v>169.30027150539783</v>
      </c>
      <c r="AI28" s="10">
        <v>-200.31090323080647</v>
      </c>
      <c r="AJ28" s="10">
        <v>-237.35761905776437</v>
      </c>
      <c r="AK28" s="10">
        <v>147.65049315271344</v>
      </c>
      <c r="AL28" s="10">
        <v>-31.587067701613211</v>
      </c>
      <c r="AM28" s="2"/>
      <c r="AN28" s="19">
        <v>5.01057460195172E-2</v>
      </c>
      <c r="AO28" s="19">
        <v>5.1954744478685151E-2</v>
      </c>
      <c r="AP28" s="19">
        <v>5.2786793785310732E-2</v>
      </c>
      <c r="AQ28" s="19">
        <v>5.3072418392969237E-2</v>
      </c>
      <c r="AR28" s="19">
        <v>5.3168149717514115E-2</v>
      </c>
      <c r="AS28" s="19">
        <v>5.3295268361581917E-2</v>
      </c>
      <c r="AT28" s="19">
        <v>5.4697994428747509E-2</v>
      </c>
      <c r="AU28" s="19">
        <v>5.6100720495913109E-2</v>
      </c>
      <c r="AV28" s="19">
        <v>5.7503446563078715E-2</v>
      </c>
      <c r="AW28" s="19">
        <v>5.8906172630244315E-2</v>
      </c>
      <c r="AX28" s="19">
        <v>6.0308898697409914E-2</v>
      </c>
      <c r="AY28" s="19">
        <v>6.1711624764575514E-2</v>
      </c>
      <c r="AZ28" s="19">
        <v>6.311435083174112E-2</v>
      </c>
      <c r="BA28" s="19">
        <v>6.4517076898906706E-2</v>
      </c>
      <c r="BB28" s="19">
        <v>7.2623980353845277E-2</v>
      </c>
      <c r="BC28" s="19">
        <v>8.3741125142418937E-2</v>
      </c>
      <c r="BD28" s="2"/>
      <c r="BE28" s="19">
        <v>2.9785625000000003E-2</v>
      </c>
      <c r="BF28" s="19">
        <v>3.3035624999999992E-2</v>
      </c>
      <c r="BG28" s="19">
        <v>3.6285624999999995E-2</v>
      </c>
      <c r="BH28" s="19">
        <v>3.9625625000000005E-2</v>
      </c>
      <c r="BI28" s="19">
        <v>4.4000624999999995E-2</v>
      </c>
      <c r="BJ28" s="19">
        <v>5.5445624999999998E-2</v>
      </c>
      <c r="BK28" s="19">
        <v>4.9489368434617653E-2</v>
      </c>
      <c r="BL28" s="19">
        <v>4.961267980548506E-2</v>
      </c>
      <c r="BM28" s="19">
        <v>5.0137633899087264E-2</v>
      </c>
      <c r="BN28" s="19">
        <v>5.0846527400948471E-2</v>
      </c>
      <c r="BO28" s="19">
        <v>4.882546730289683E-2</v>
      </c>
      <c r="BP28" s="19">
        <v>5.0503062794126752E-2</v>
      </c>
      <c r="BQ28" s="19">
        <v>5.2262839786640314E-2</v>
      </c>
      <c r="BR28" s="19">
        <v>5.3922484731163567E-2</v>
      </c>
      <c r="BS28" s="19">
        <v>5.8929925508963886E-2</v>
      </c>
      <c r="BT28" s="19">
        <v>6.551854622594927E-2</v>
      </c>
      <c r="BU28" s="2"/>
      <c r="BV28" s="10">
        <v>6690.5212775076179</v>
      </c>
      <c r="BW28" s="10">
        <v>2979.3011116097177</v>
      </c>
      <c r="BX28" s="10">
        <v>2609.3140681378995</v>
      </c>
      <c r="BY28" s="10">
        <v>5090.4267046858995</v>
      </c>
      <c r="BZ28" s="10">
        <v>13125.181294297565</v>
      </c>
      <c r="CA28" s="10">
        <v>10018.115210770022</v>
      </c>
      <c r="CB28" s="10">
        <v>5200.7982340750932</v>
      </c>
      <c r="CC28" s="10">
        <v>4792.9634588371573</v>
      </c>
      <c r="CD28" s="10">
        <v>2500.5822620042941</v>
      </c>
      <c r="CE28" s="10">
        <v>2010.6911039099505</v>
      </c>
      <c r="CF28" s="10">
        <v>2498.8994427733583</v>
      </c>
      <c r="CG28" s="10">
        <v>1768.200836141584</v>
      </c>
      <c r="CH28" s="10">
        <v>824.40394918745869</v>
      </c>
      <c r="CI28" s="10">
        <v>685.02140014365023</v>
      </c>
      <c r="CJ28" s="10">
        <v>2614.1303165527943</v>
      </c>
      <c r="CK28" s="10">
        <v>350.16190283778303</v>
      </c>
      <c r="CL28" s="10"/>
      <c r="CM28" s="10">
        <v>15175.836163448252</v>
      </c>
      <c r="CN28" s="10">
        <v>1212.9515197055021</v>
      </c>
      <c r="CO28" s="10">
        <v>2281.5980769110183</v>
      </c>
      <c r="CP28" s="10">
        <v>1528.8699273597038</v>
      </c>
      <c r="CQ28" s="10">
        <v>1634.1431049062346</v>
      </c>
      <c r="CR28" s="10">
        <v>5588.9906239850379</v>
      </c>
      <c r="CS28" s="10">
        <v>3788.5440803544357</v>
      </c>
      <c r="CT28" s="10">
        <v>5248.176996591993</v>
      </c>
      <c r="CU28" s="10">
        <v>2158.3260276601777</v>
      </c>
      <c r="CV28" s="10">
        <v>274.92691592659241</v>
      </c>
      <c r="CW28" s="10">
        <v>486.78112654188004</v>
      </c>
      <c r="CX28" s="10">
        <v>993.67446809949797</v>
      </c>
      <c r="CY28" s="10">
        <v>180.35615370424776</v>
      </c>
      <c r="CZ28" s="10">
        <v>3750.2090388059996</v>
      </c>
      <c r="DA28" s="10">
        <v>1979.6094003983051</v>
      </c>
      <c r="DB28" s="10">
        <v>7.1848206968375483E-5</v>
      </c>
      <c r="DC28" s="10"/>
      <c r="DD28" s="10">
        <v>8477.3713406752213</v>
      </c>
      <c r="DE28" s="10">
        <v>1541.2433891172409</v>
      </c>
      <c r="DF28" s="10">
        <v>1386.2551993533298</v>
      </c>
      <c r="DG28" s="10">
        <v>1520.4148127564806</v>
      </c>
      <c r="DH28" s="10">
        <v>2126.1571578044964</v>
      </c>
      <c r="DI28" s="10">
        <v>2105.3342018733392</v>
      </c>
      <c r="DJ28" s="10">
        <v>2399.6520946560313</v>
      </c>
      <c r="DK28" s="10">
        <v>2034.5314715393315</v>
      </c>
      <c r="DL28" s="10">
        <v>1195.0165241021664</v>
      </c>
      <c r="DM28" s="10">
        <v>1100.0262145119686</v>
      </c>
      <c r="DN28" s="10">
        <v>1421.5524688687203</v>
      </c>
      <c r="DO28" s="10">
        <v>329.94218764591335</v>
      </c>
      <c r="DP28" s="10">
        <v>82.029534996813226</v>
      </c>
      <c r="DQ28" s="10">
        <v>56.216460131596158</v>
      </c>
      <c r="DR28" s="10">
        <v>336.15756385404342</v>
      </c>
      <c r="DS28" s="10">
        <v>1.7462760504840871</v>
      </c>
      <c r="DT28" s="10"/>
      <c r="DU28" s="10">
        <v>6686.5127886007613</v>
      </c>
      <c r="DV28" s="10">
        <v>1270.3071293372507</v>
      </c>
      <c r="DW28" s="10">
        <v>2305.9364188959657</v>
      </c>
      <c r="DX28" s="10">
        <v>1638.4375034496738</v>
      </c>
      <c r="DY28" s="10">
        <v>1386.2063021928932</v>
      </c>
      <c r="DZ28" s="10">
        <v>1983.1753328881184</v>
      </c>
      <c r="EA28" s="10">
        <v>1820.3940811845605</v>
      </c>
      <c r="EB28" s="10">
        <v>4047.7977346391499</v>
      </c>
      <c r="EC28" s="10">
        <v>2545.4274985124134</v>
      </c>
      <c r="ED28" s="10">
        <v>981.53083008541648</v>
      </c>
      <c r="EE28" s="10">
        <v>963.58184254187768</v>
      </c>
      <c r="EF28" s="10">
        <v>160.64191614051552</v>
      </c>
      <c r="EG28" s="10">
        <v>282.3404382276197</v>
      </c>
      <c r="EH28" s="10">
        <v>293.57407918936053</v>
      </c>
      <c r="EI28" s="10">
        <v>188.50707070132998</v>
      </c>
      <c r="EJ28" s="10">
        <v>33.333343752097299</v>
      </c>
      <c r="EL28" s="21" t="b">
        <v>1</v>
      </c>
      <c r="EM28" s="21" t="b">
        <v>1</v>
      </c>
      <c r="EN28" s="21" t="b">
        <v>1</v>
      </c>
      <c r="EO28" s="21" t="b">
        <v>1</v>
      </c>
      <c r="EP28" s="21" t="b">
        <v>1</v>
      </c>
      <c r="EQ28" s="21" t="b">
        <v>1</v>
      </c>
      <c r="ER28" s="21" t="b">
        <v>1</v>
      </c>
      <c r="ES28" s="21" t="b">
        <v>1</v>
      </c>
      <c r="ET28" s="21" t="b">
        <v>1</v>
      </c>
      <c r="EU28" s="21" t="b">
        <v>1</v>
      </c>
      <c r="EV28" s="21" t="b">
        <v>1</v>
      </c>
      <c r="EW28" s="21" t="b">
        <v>1</v>
      </c>
      <c r="EX28" s="21" t="b">
        <v>1</v>
      </c>
      <c r="EY28" s="21" t="b">
        <v>1</v>
      </c>
      <c r="EZ28" s="21" t="b">
        <v>1</v>
      </c>
      <c r="FA28" s="21" t="b">
        <v>1</v>
      </c>
      <c r="FC28" s="21" t="b">
        <v>1</v>
      </c>
      <c r="FD28" s="21" t="b">
        <v>1</v>
      </c>
      <c r="FE28" s="21" t="b">
        <v>1</v>
      </c>
      <c r="FF28" s="21" t="b">
        <v>1</v>
      </c>
      <c r="FG28" s="21" t="b">
        <v>1</v>
      </c>
      <c r="FH28" s="21" t="b">
        <v>1</v>
      </c>
      <c r="FI28" s="21" t="b">
        <v>1</v>
      </c>
      <c r="FJ28" s="21" t="b">
        <v>1</v>
      </c>
      <c r="FK28" s="21" t="b">
        <v>1</v>
      </c>
      <c r="FL28" s="21" t="b">
        <v>1</v>
      </c>
      <c r="FM28" s="21" t="b">
        <v>1</v>
      </c>
      <c r="FN28" s="21" t="b">
        <v>1</v>
      </c>
      <c r="FO28" s="21" t="b">
        <v>1</v>
      </c>
      <c r="FP28" s="21" t="b">
        <v>1</v>
      </c>
      <c r="FQ28" s="21" t="b">
        <v>1</v>
      </c>
      <c r="FR28" s="21" t="b">
        <v>1</v>
      </c>
    </row>
    <row r="29" spans="1:176" x14ac:dyDescent="0.25">
      <c r="A29" t="str">
        <f t="shared" si="0"/>
        <v xml:space="preserve">Dec 2016 </v>
      </c>
      <c r="B29" s="2">
        <v>42735</v>
      </c>
      <c r="C29" s="11">
        <v>2.8</v>
      </c>
      <c r="D29" s="18">
        <v>15797</v>
      </c>
      <c r="E29" s="11"/>
      <c r="F29" s="10">
        <v>-8516.6485729417218</v>
      </c>
      <c r="G29" s="10">
        <v>1967.7846869449752</v>
      </c>
      <c r="H29" s="10">
        <v>-29.332870207272663</v>
      </c>
      <c r="I29" s="10">
        <v>5424.6189904659259</v>
      </c>
      <c r="J29" s="10">
        <v>9615.1136279581406</v>
      </c>
      <c r="K29" s="10">
        <v>5073.2905890819384</v>
      </c>
      <c r="L29" s="10">
        <v>1485.1292601234497</v>
      </c>
      <c r="M29" s="10">
        <v>-536.19409231239706</v>
      </c>
      <c r="N29" s="10">
        <v>131.25975715478307</v>
      </c>
      <c r="O29" s="10">
        <v>1761.2350039445325</v>
      </c>
      <c r="P29" s="10">
        <v>2425.3454970023117</v>
      </c>
      <c r="Q29" s="10">
        <v>718.4299537180666</v>
      </c>
      <c r="R29" s="10">
        <v>661.64016434710152</v>
      </c>
      <c r="S29" s="10">
        <v>-3395.416947945173</v>
      </c>
      <c r="T29" s="10">
        <v>570.59584358591496</v>
      </c>
      <c r="U29" s="10">
        <v>345.45808561587216</v>
      </c>
      <c r="V29" s="20"/>
      <c r="W29" s="10">
        <v>2354.2080580226502</v>
      </c>
      <c r="X29" s="10">
        <v>500.68624000816845</v>
      </c>
      <c r="Y29" s="10">
        <v>-2137.9321332841564</v>
      </c>
      <c r="Z29" s="10">
        <v>317.54667707753845</v>
      </c>
      <c r="AA29" s="10">
        <v>55.539286819323578</v>
      </c>
      <c r="AB29" s="10">
        <v>187.07408712399771</v>
      </c>
      <c r="AC29" s="10">
        <v>514.27153048379807</v>
      </c>
      <c r="AD29" s="10">
        <v>-1813.4581258858968</v>
      </c>
      <c r="AE29" s="10">
        <v>-1441.6927893226859</v>
      </c>
      <c r="AF29" s="10">
        <v>240.14084006773876</v>
      </c>
      <c r="AG29" s="10">
        <v>407.41588404810005</v>
      </c>
      <c r="AH29" s="10">
        <v>71.566297591602478</v>
      </c>
      <c r="AI29" s="10">
        <v>-218.20663386317324</v>
      </c>
      <c r="AJ29" s="10">
        <v>-201.55085370124854</v>
      </c>
      <c r="AK29" s="10">
        <v>65.83872340804902</v>
      </c>
      <c r="AL29" s="10">
        <v>-48.792204146234468</v>
      </c>
      <c r="AN29" s="19">
        <v>5.169925526450949E-2</v>
      </c>
      <c r="AO29" s="19">
        <v>5.2880559835644568E-2</v>
      </c>
      <c r="AP29" s="19">
        <v>5.3044915254237289E-2</v>
      </c>
      <c r="AQ29" s="19">
        <v>5.340900816070307E-2</v>
      </c>
      <c r="AR29" s="19">
        <v>5.3496892655367223E-2</v>
      </c>
      <c r="AS29" s="19">
        <v>5.349689265536723E-2</v>
      </c>
      <c r="AT29" s="19">
        <v>5.4906911386938553E-2</v>
      </c>
      <c r="AU29" s="19">
        <v>5.6316930118509877E-2</v>
      </c>
      <c r="AV29" s="19">
        <v>5.7726948850081214E-2</v>
      </c>
      <c r="AW29" s="19">
        <v>5.9136967581652551E-2</v>
      </c>
      <c r="AX29" s="19">
        <v>6.0546986313223874E-2</v>
      </c>
      <c r="AY29" s="19">
        <v>6.1957005044795205E-2</v>
      </c>
      <c r="AZ29" s="19">
        <v>6.3367023776366549E-2</v>
      </c>
      <c r="BA29" s="19">
        <v>6.4777042507937865E-2</v>
      </c>
      <c r="BB29" s="19">
        <v>7.3075497268055997E-2</v>
      </c>
      <c r="BC29" s="19">
        <v>8.3992696089256524E-2</v>
      </c>
      <c r="BE29" s="19">
        <v>3.1924666666666671E-2</v>
      </c>
      <c r="BF29" s="19">
        <v>3.5057999999999999E-2</v>
      </c>
      <c r="BG29" s="19">
        <v>3.8191333333333334E-2</v>
      </c>
      <c r="BH29" s="19">
        <v>4.0631333333333339E-2</v>
      </c>
      <c r="BI29" s="19">
        <v>4.5281333333333326E-2</v>
      </c>
      <c r="BJ29" s="19">
        <v>5.890133333333334E-2</v>
      </c>
      <c r="BK29" s="19">
        <v>5.154571831503385E-2</v>
      </c>
      <c r="BL29" s="19">
        <v>5.1543374874228443E-2</v>
      </c>
      <c r="BM29" s="19">
        <v>5.1943252240547411E-2</v>
      </c>
      <c r="BN29" s="19">
        <v>5.252719526126004E-2</v>
      </c>
      <c r="BO29" s="19">
        <v>5.0873035337596573E-2</v>
      </c>
      <c r="BP29" s="19">
        <v>5.2390563640952958E-2</v>
      </c>
      <c r="BQ29" s="19">
        <v>5.3997318361559632E-2</v>
      </c>
      <c r="BR29" s="19">
        <v>5.5499012593512198E-2</v>
      </c>
      <c r="BS29" s="19">
        <v>5.9916114983724983E-2</v>
      </c>
      <c r="BT29" s="19">
        <v>6.5940872621738311E-2</v>
      </c>
      <c r="BV29" s="10">
        <v>7060.2734130342706</v>
      </c>
      <c r="BW29" s="10">
        <v>3062.4659295466176</v>
      </c>
      <c r="BX29" s="10">
        <v>2380.0059586589873</v>
      </c>
      <c r="BY29" s="10">
        <v>7132.6655768118508</v>
      </c>
      <c r="BZ29" s="10">
        <v>11873.834005441353</v>
      </c>
      <c r="CA29" s="10">
        <v>10400.742481609766</v>
      </c>
      <c r="CB29" s="10">
        <v>5432.8447273528964</v>
      </c>
      <c r="CC29" s="10">
        <v>4906.3093853249011</v>
      </c>
      <c r="CD29" s="10">
        <v>2553.1677389044025</v>
      </c>
      <c r="CE29" s="10">
        <v>2293.4446343501036</v>
      </c>
      <c r="CF29" s="10">
        <v>2511.431780268952</v>
      </c>
      <c r="CG29" s="10">
        <v>1752.0288227514645</v>
      </c>
      <c r="CH29" s="10">
        <v>849.3765062578949</v>
      </c>
      <c r="CI29" s="10">
        <v>690.05500059397377</v>
      </c>
      <c r="CJ29" s="10">
        <v>2601.1567535820986</v>
      </c>
      <c r="CK29" s="10">
        <v>345.45817086990837</v>
      </c>
      <c r="CL29" s="10"/>
      <c r="CM29" s="10">
        <v>15576.921985975992</v>
      </c>
      <c r="CN29" s="10">
        <v>1094.6812426016425</v>
      </c>
      <c r="CO29" s="10">
        <v>2409.33882886626</v>
      </c>
      <c r="CP29" s="10">
        <v>1708.0465863459247</v>
      </c>
      <c r="CQ29" s="10">
        <v>2258.7203774832137</v>
      </c>
      <c r="CR29" s="10">
        <v>5327.451892527828</v>
      </c>
      <c r="CS29" s="10">
        <v>3947.7154672294469</v>
      </c>
      <c r="CT29" s="10">
        <v>5442.5034776372977</v>
      </c>
      <c r="CU29" s="10">
        <v>2421.9079817496195</v>
      </c>
      <c r="CV29" s="10">
        <v>532.20963040557103</v>
      </c>
      <c r="CW29" s="10">
        <v>86.086283266640208</v>
      </c>
      <c r="CX29" s="10">
        <v>1033.5988690333979</v>
      </c>
      <c r="CY29" s="10">
        <v>187.73634191079336</v>
      </c>
      <c r="CZ29" s="10">
        <v>4085.471948539147</v>
      </c>
      <c r="DA29" s="10">
        <v>2030.5609099961837</v>
      </c>
      <c r="DB29" s="10">
        <v>8.525403620783173E-5</v>
      </c>
      <c r="DC29" s="10"/>
      <c r="DD29" s="10">
        <v>8423.4418562697647</v>
      </c>
      <c r="DE29" s="10">
        <v>1795.9654930231859</v>
      </c>
      <c r="DF29" s="10">
        <v>1324.9501285701024</v>
      </c>
      <c r="DG29" s="10">
        <v>1944.7164241001115</v>
      </c>
      <c r="DH29" s="10">
        <v>1979.289516374193</v>
      </c>
      <c r="DI29" s="10">
        <v>2292.9607396789265</v>
      </c>
      <c r="DJ29" s="10">
        <v>2333.1615607181811</v>
      </c>
      <c r="DK29" s="10">
        <v>1993.210465604916</v>
      </c>
      <c r="DL29" s="10">
        <v>1181.6482019263754</v>
      </c>
      <c r="DM29" s="10">
        <v>1206.7518872991775</v>
      </c>
      <c r="DN29" s="10">
        <v>1376.3726220873864</v>
      </c>
      <c r="DO29" s="10">
        <v>307.43629122799996</v>
      </c>
      <c r="DP29" s="10">
        <v>78.748056146206963</v>
      </c>
      <c r="DQ29" s="10">
        <v>97.412907197925648</v>
      </c>
      <c r="DR29" s="10">
        <v>299.49617021941964</v>
      </c>
      <c r="DS29" s="10">
        <v>1.2078062725294942</v>
      </c>
      <c r="DT29" s="10"/>
      <c r="DU29" s="10">
        <v>6069.2337982471136</v>
      </c>
      <c r="DV29" s="10">
        <v>1295.2792530150175</v>
      </c>
      <c r="DW29" s="10">
        <v>3462.8822618542586</v>
      </c>
      <c r="DX29" s="10">
        <v>1627.1697470225729</v>
      </c>
      <c r="DY29" s="10">
        <v>1923.7502295548695</v>
      </c>
      <c r="DZ29" s="10">
        <v>2105.8866525549288</v>
      </c>
      <c r="EA29" s="10">
        <v>1818.8900302343829</v>
      </c>
      <c r="EB29" s="10">
        <v>3806.668591490813</v>
      </c>
      <c r="EC29" s="10">
        <v>2623.3409912490611</v>
      </c>
      <c r="ED29" s="10">
        <v>966.61104723143876</v>
      </c>
      <c r="EE29" s="10">
        <v>968.95673803928628</v>
      </c>
      <c r="EF29" s="10">
        <v>235.86999363639748</v>
      </c>
      <c r="EG29" s="10">
        <v>296.95469000938022</v>
      </c>
      <c r="EH29" s="10">
        <v>298.96376089917419</v>
      </c>
      <c r="EI29" s="10">
        <v>233.65744681137062</v>
      </c>
      <c r="EJ29" s="10">
        <v>50.000010418763964</v>
      </c>
      <c r="EL29" s="21" t="b">
        <v>1</v>
      </c>
      <c r="EM29" s="21" t="b">
        <v>1</v>
      </c>
      <c r="EN29" s="21" t="b">
        <v>1</v>
      </c>
      <c r="EO29" s="21" t="b">
        <v>1</v>
      </c>
      <c r="EP29" s="21" t="b">
        <v>1</v>
      </c>
      <c r="EQ29" s="21" t="b">
        <v>1</v>
      </c>
      <c r="ER29" s="21" t="b">
        <v>1</v>
      </c>
      <c r="ES29" s="21" t="b">
        <v>1</v>
      </c>
      <c r="ET29" s="21" t="b">
        <v>1</v>
      </c>
      <c r="EU29" s="21" t="b">
        <v>1</v>
      </c>
      <c r="EV29" s="21" t="b">
        <v>1</v>
      </c>
      <c r="EW29" s="21" t="b">
        <v>1</v>
      </c>
      <c r="EX29" s="21" t="b">
        <v>1</v>
      </c>
      <c r="EY29" s="21" t="b">
        <v>1</v>
      </c>
      <c r="EZ29" s="21" t="b">
        <v>1</v>
      </c>
      <c r="FA29" s="21" t="b">
        <v>1</v>
      </c>
      <c r="FC29" s="21" t="b">
        <v>1</v>
      </c>
      <c r="FD29" s="21" t="b">
        <v>1</v>
      </c>
      <c r="FE29" s="21" t="b">
        <v>1</v>
      </c>
      <c r="FF29" s="21" t="b">
        <v>0</v>
      </c>
      <c r="FG29" s="21" t="b">
        <v>0</v>
      </c>
      <c r="FH29" s="21" t="b">
        <v>1</v>
      </c>
      <c r="FI29" s="21" t="b">
        <v>1</v>
      </c>
      <c r="FJ29" s="21" t="b">
        <v>1</v>
      </c>
      <c r="FK29" s="21" t="b">
        <v>1</v>
      </c>
      <c r="FL29" s="21" t="b">
        <v>1</v>
      </c>
      <c r="FM29" s="21" t="b">
        <v>1</v>
      </c>
      <c r="FN29" s="21" t="b">
        <v>1</v>
      </c>
      <c r="FO29" s="21" t="b">
        <v>1</v>
      </c>
      <c r="FP29" s="21" t="b">
        <v>1</v>
      </c>
      <c r="FQ29" s="21" t="b">
        <v>1</v>
      </c>
      <c r="FR29" s="21" t="b">
        <v>1</v>
      </c>
    </row>
    <row r="30" spans="1:176" x14ac:dyDescent="0.25">
      <c r="A30" t="str">
        <f t="shared" si="0"/>
        <v xml:space="preserve">Mar 2017 </v>
      </c>
      <c r="B30" s="2">
        <v>42825</v>
      </c>
      <c r="C30" s="11">
        <v>2.8</v>
      </c>
      <c r="D30" s="18">
        <v>16275.25</v>
      </c>
      <c r="E30" s="11"/>
      <c r="F30" s="10">
        <v>-8670.6616920302095</v>
      </c>
      <c r="G30" s="10">
        <v>2726.592849540777</v>
      </c>
      <c r="H30" s="10">
        <v>1051.4244990862835</v>
      </c>
      <c r="I30" s="10">
        <v>8013.0322988669741</v>
      </c>
      <c r="J30" s="10">
        <v>5851.5006769895617</v>
      </c>
      <c r="K30" s="10">
        <v>5267.4258246015042</v>
      </c>
      <c r="L30" s="10">
        <v>1585.4343080677679</v>
      </c>
      <c r="M30" s="10">
        <v>-568.45775445350591</v>
      </c>
      <c r="N30" s="10">
        <v>196.77181089725354</v>
      </c>
      <c r="O30" s="10">
        <v>2129.1567560385993</v>
      </c>
      <c r="P30" s="10">
        <v>2319.2105328100142</v>
      </c>
      <c r="Q30" s="10">
        <v>701.72594040623767</v>
      </c>
      <c r="R30" s="10">
        <v>673.97479536568926</v>
      </c>
      <c r="S30" s="10">
        <v>-3200.2002048198829</v>
      </c>
      <c r="T30" s="10">
        <v>502.84241175064972</v>
      </c>
      <c r="U30" s="10">
        <v>341.48296720418625</v>
      </c>
      <c r="V30" s="20"/>
      <c r="W30" s="10">
        <v>1968.4092920390024</v>
      </c>
      <c r="X30" s="10">
        <v>519.8529410353799</v>
      </c>
      <c r="Y30" s="10">
        <v>-1225.6319801672985</v>
      </c>
      <c r="Z30" s="10">
        <v>-23.720685887268928</v>
      </c>
      <c r="AA30" s="10">
        <v>-196.42377398198951</v>
      </c>
      <c r="AB30" s="10">
        <v>742.83820765206315</v>
      </c>
      <c r="AC30" s="10">
        <v>189.66009454090192</v>
      </c>
      <c r="AD30" s="10">
        <v>-1865.2770414939434</v>
      </c>
      <c r="AE30" s="10">
        <v>-1487.1923923123845</v>
      </c>
      <c r="AF30" s="10">
        <v>315.13796353867519</v>
      </c>
      <c r="AG30" s="10">
        <v>318.4051907940318</v>
      </c>
      <c r="AH30" s="10">
        <v>-14.416459540385006</v>
      </c>
      <c r="AI30" s="10">
        <v>-221.63350617523224</v>
      </c>
      <c r="AJ30" s="10">
        <v>-208.91121132862804</v>
      </c>
      <c r="AK30" s="10">
        <v>28.277176903557915</v>
      </c>
      <c r="AL30" s="10">
        <v>-65.880891576886995</v>
      </c>
      <c r="AN30" s="19">
        <v>5.1872598870056491E-2</v>
      </c>
      <c r="AO30" s="19">
        <v>5.3285028248587558E-2</v>
      </c>
      <c r="AP30" s="19">
        <v>5.3680508474576269E-2</v>
      </c>
      <c r="AQ30" s="19">
        <v>5.3996399426060437E-2</v>
      </c>
      <c r="AR30" s="19">
        <v>5.4092130750605323E-2</v>
      </c>
      <c r="AS30" s="19">
        <v>5.418292978208232E-2</v>
      </c>
      <c r="AT30" s="19">
        <v>5.5561902655601222E-2</v>
      </c>
      <c r="AU30" s="19">
        <v>5.6940875529120125E-2</v>
      </c>
      <c r="AV30" s="19">
        <v>5.8319848402639041E-2</v>
      </c>
      <c r="AW30" s="19">
        <v>5.969882127615795E-2</v>
      </c>
      <c r="AX30" s="19">
        <v>6.1077794149676852E-2</v>
      </c>
      <c r="AY30" s="19">
        <v>6.2456767023195761E-2</v>
      </c>
      <c r="AZ30" s="19">
        <v>6.3835739896714677E-2</v>
      </c>
      <c r="BA30" s="19">
        <v>6.5214712770233579E-2</v>
      </c>
      <c r="BB30" s="19">
        <v>7.3381487436420006E-2</v>
      </c>
      <c r="BC30" s="19">
        <v>8.4055588711305029E-2</v>
      </c>
      <c r="BE30" s="19">
        <v>3.6307458333333334E-2</v>
      </c>
      <c r="BF30" s="19">
        <v>3.9324124999999995E-2</v>
      </c>
      <c r="BG30" s="19">
        <v>4.2340791666666669E-2</v>
      </c>
      <c r="BH30" s="19">
        <v>4.5147458333333335E-2</v>
      </c>
      <c r="BI30" s="19">
        <v>4.9530791666666664E-2</v>
      </c>
      <c r="BJ30" s="19">
        <v>6.1800791666666674E-2</v>
      </c>
      <c r="BK30" s="19">
        <v>5.3432403969242481E-2</v>
      </c>
      <c r="BL30" s="19">
        <v>5.3329062617167078E-2</v>
      </c>
      <c r="BM30" s="19">
        <v>5.3628568347739602E-2</v>
      </c>
      <c r="BN30" s="19">
        <v>5.4112358744048961E-2</v>
      </c>
      <c r="BO30" s="19">
        <v>5.193087116566969E-2</v>
      </c>
      <c r="BP30" s="19">
        <v>5.3379860912497967E-2</v>
      </c>
      <c r="BQ30" s="19">
        <v>5.4921106639834683E-2</v>
      </c>
      <c r="BR30" s="19">
        <v>5.6363687849449784E-2</v>
      </c>
      <c r="BS30" s="19">
        <v>6.0587394002763764E-2</v>
      </c>
      <c r="BT30" s="19">
        <v>6.6360663965227051E-2</v>
      </c>
      <c r="BV30" s="10">
        <v>7228.3809597521649</v>
      </c>
      <c r="BW30" s="10">
        <v>3844.7315419589113</v>
      </c>
      <c r="BX30" s="10">
        <v>3482.3670276123439</v>
      </c>
      <c r="BY30" s="10">
        <v>9602.9455519507119</v>
      </c>
      <c r="BZ30" s="10">
        <v>8157.8610690889391</v>
      </c>
      <c r="CA30" s="10">
        <v>10632.325654679758</v>
      </c>
      <c r="CB30" s="10">
        <v>5593.4114458687754</v>
      </c>
      <c r="CC30" s="10">
        <v>4973.2201330840253</v>
      </c>
      <c r="CD30" s="10">
        <v>2630.1694093946121</v>
      </c>
      <c r="CE30" s="10">
        <v>2661.6683308614788</v>
      </c>
      <c r="CF30" s="10">
        <v>2404.501457654816</v>
      </c>
      <c r="CG30" s="10">
        <v>1756.0912309239588</v>
      </c>
      <c r="CH30" s="10">
        <v>867.74730626547307</v>
      </c>
      <c r="CI30" s="10">
        <v>689.26824343228111</v>
      </c>
      <c r="CJ30" s="10">
        <v>2565.8592284704678</v>
      </c>
      <c r="CK30" s="10">
        <v>341.48303930492472</v>
      </c>
      <c r="CL30" s="10"/>
      <c r="CM30" s="10">
        <v>15899.042651782374</v>
      </c>
      <c r="CN30" s="10">
        <v>1118.138692418134</v>
      </c>
      <c r="CO30" s="10">
        <v>2430.9425285260604</v>
      </c>
      <c r="CP30" s="10">
        <v>1589.9132530837378</v>
      </c>
      <c r="CQ30" s="10">
        <v>2306.3603920993778</v>
      </c>
      <c r="CR30" s="10">
        <v>5364.8998300782541</v>
      </c>
      <c r="CS30" s="10">
        <v>4007.9771378010078</v>
      </c>
      <c r="CT30" s="10">
        <v>5541.6778875375312</v>
      </c>
      <c r="CU30" s="10">
        <v>2433.3975984973586</v>
      </c>
      <c r="CV30" s="10">
        <v>532.51157482287931</v>
      </c>
      <c r="CW30" s="10">
        <v>85.290924844801793</v>
      </c>
      <c r="CX30" s="10">
        <v>1054.3652905177212</v>
      </c>
      <c r="CY30" s="10">
        <v>193.77251089978384</v>
      </c>
      <c r="CZ30" s="10">
        <v>3889.4684482521639</v>
      </c>
      <c r="DA30" s="10">
        <v>2063.0168167198181</v>
      </c>
      <c r="DB30" s="10">
        <v>7.2100738442053603E-5</v>
      </c>
      <c r="DC30" s="10"/>
      <c r="DD30" s="10">
        <v>8879.1234660946284</v>
      </c>
      <c r="DE30" s="10">
        <v>1792.453809004681</v>
      </c>
      <c r="DF30" s="10">
        <v>1521.3970973108965</v>
      </c>
      <c r="DG30" s="10">
        <v>1770.9345035414983</v>
      </c>
      <c r="DH30" s="10">
        <v>1832.6286653218531</v>
      </c>
      <c r="DI30" s="10">
        <v>2734.0221883477693</v>
      </c>
      <c r="DJ30" s="10">
        <v>1926.4457466492074</v>
      </c>
      <c r="DK30" s="10">
        <v>1979.454579103128</v>
      </c>
      <c r="DL30" s="10">
        <v>1249.5193747366407</v>
      </c>
      <c r="DM30" s="10">
        <v>1280.6089782352296</v>
      </c>
      <c r="DN30" s="10">
        <v>1292.9680379350457</v>
      </c>
      <c r="DO30" s="10">
        <v>294.7376818743025</v>
      </c>
      <c r="DP30" s="10">
        <v>78.676155274607837</v>
      </c>
      <c r="DQ30" s="10">
        <v>95.909200255280098</v>
      </c>
      <c r="DR30" s="10">
        <v>306.68921853561727</v>
      </c>
      <c r="DS30" s="10">
        <v>0.78578550854362783</v>
      </c>
      <c r="DT30" s="10"/>
      <c r="DU30" s="10">
        <v>6910.7141740556262</v>
      </c>
      <c r="DV30" s="10">
        <v>1272.6008679693011</v>
      </c>
      <c r="DW30" s="10">
        <v>2747.0290774781952</v>
      </c>
      <c r="DX30" s="10">
        <v>1794.6551894287672</v>
      </c>
      <c r="DY30" s="10">
        <v>2029.0524393038427</v>
      </c>
      <c r="DZ30" s="10">
        <v>1991.1839806957059</v>
      </c>
      <c r="EA30" s="10">
        <v>1736.7856521083056</v>
      </c>
      <c r="EB30" s="10">
        <v>3844.7316205970715</v>
      </c>
      <c r="EC30" s="10">
        <v>2736.7117670490252</v>
      </c>
      <c r="ED30" s="10">
        <v>965.47101469655456</v>
      </c>
      <c r="EE30" s="10">
        <v>974.562847141014</v>
      </c>
      <c r="EF30" s="10">
        <v>309.1541414146875</v>
      </c>
      <c r="EG30" s="10">
        <v>300.30966144984006</v>
      </c>
      <c r="EH30" s="10">
        <v>304.82041158390814</v>
      </c>
      <c r="EI30" s="10">
        <v>278.41204163205936</v>
      </c>
      <c r="EJ30" s="10">
        <v>66.666677085430621</v>
      </c>
      <c r="EL30" s="21" t="b">
        <v>1</v>
      </c>
      <c r="EM30" s="21" t="b">
        <v>1</v>
      </c>
      <c r="EN30" s="21" t="b">
        <v>1</v>
      </c>
      <c r="EO30" s="21" t="b">
        <v>1</v>
      </c>
      <c r="EP30" s="21" t="b">
        <v>1</v>
      </c>
      <c r="EQ30" s="21" t="b">
        <v>1</v>
      </c>
      <c r="ER30" s="21" t="b">
        <v>1</v>
      </c>
      <c r="ES30" s="21" t="b">
        <v>1</v>
      </c>
      <c r="ET30" s="21" t="b">
        <v>1</v>
      </c>
      <c r="EU30" s="21" t="b">
        <v>1</v>
      </c>
      <c r="EV30" s="21" t="b">
        <v>1</v>
      </c>
      <c r="EW30" s="21" t="b">
        <v>1</v>
      </c>
      <c r="EX30" s="21" t="b">
        <v>1</v>
      </c>
      <c r="EY30" s="21" t="b">
        <v>1</v>
      </c>
      <c r="EZ30" s="21" t="b">
        <v>1</v>
      </c>
      <c r="FA30" s="21" t="b">
        <v>1</v>
      </c>
      <c r="FC30" s="21" t="b">
        <v>1</v>
      </c>
      <c r="FD30" s="21" t="b">
        <v>1</v>
      </c>
      <c r="FE30" s="21" t="b">
        <v>1</v>
      </c>
      <c r="FF30" s="21" t="b">
        <v>1</v>
      </c>
      <c r="FG30" s="21" t="b">
        <v>1</v>
      </c>
      <c r="FH30" s="21" t="b">
        <v>1</v>
      </c>
      <c r="FI30" s="21" t="b">
        <v>1</v>
      </c>
      <c r="FJ30" s="21" t="b">
        <v>1</v>
      </c>
      <c r="FK30" s="21" t="b">
        <v>1</v>
      </c>
      <c r="FL30" s="21" t="b">
        <v>1</v>
      </c>
      <c r="FM30" s="21" t="b">
        <v>1</v>
      </c>
      <c r="FN30" s="21" t="b">
        <v>1</v>
      </c>
      <c r="FO30" s="21" t="b">
        <v>1</v>
      </c>
      <c r="FP30" s="21" t="b">
        <v>1</v>
      </c>
      <c r="FQ30" s="21" t="b">
        <v>1</v>
      </c>
      <c r="FR30" s="21" t="b">
        <v>1</v>
      </c>
    </row>
    <row r="31" spans="1:176" x14ac:dyDescent="0.25">
      <c r="A31" t="str">
        <f t="shared" si="0"/>
        <v xml:space="preserve">Jun 2017 </v>
      </c>
      <c r="B31" s="2">
        <v>42916</v>
      </c>
      <c r="C31" s="11">
        <v>2.8</v>
      </c>
      <c r="D31" s="18">
        <v>16753.5</v>
      </c>
      <c r="E31" s="11"/>
      <c r="F31" s="10">
        <v>-6974.484268370722</v>
      </c>
      <c r="G31" s="10">
        <v>4279.9554652778706</v>
      </c>
      <c r="H31" s="10">
        <v>73.02102431666026</v>
      </c>
      <c r="I31" s="10">
        <v>3768.7337768017019</v>
      </c>
      <c r="J31" s="10">
        <v>8500.3215673280229</v>
      </c>
      <c r="K31" s="10">
        <v>5160.3439410252704</v>
      </c>
      <c r="L31" s="10">
        <v>1224.2861103541625</v>
      </c>
      <c r="M31" s="10">
        <v>-634.25768763536462</v>
      </c>
      <c r="N31" s="10">
        <v>111.17077124187881</v>
      </c>
      <c r="O31" s="10">
        <v>2401.9558661241767</v>
      </c>
      <c r="P31" s="10">
        <v>1381.9496612631169</v>
      </c>
      <c r="Q31" s="10">
        <v>1563.8726639726071</v>
      </c>
      <c r="R31" s="10">
        <v>657.58410289951871</v>
      </c>
      <c r="S31" s="10">
        <v>-3494.0151851022943</v>
      </c>
      <c r="T31" s="10">
        <v>447.93753390277197</v>
      </c>
      <c r="U31" s="10">
        <v>338.17658170594734</v>
      </c>
      <c r="V31" s="20"/>
      <c r="W31" s="10">
        <v>2479.4695607364106</v>
      </c>
      <c r="X31" s="10">
        <v>671.71571808409794</v>
      </c>
      <c r="Y31" s="10">
        <v>-2234.060057544853</v>
      </c>
      <c r="Z31" s="10">
        <v>-355.47623417973745</v>
      </c>
      <c r="AA31" s="10">
        <v>766.6243202623865</v>
      </c>
      <c r="AB31" s="10">
        <v>882.44917596387324</v>
      </c>
      <c r="AC31" s="10">
        <v>-83.248084718948348</v>
      </c>
      <c r="AD31" s="10">
        <v>-1914.431758093961</v>
      </c>
      <c r="AE31" s="10">
        <v>-1821.4316741147813</v>
      </c>
      <c r="AF31" s="10">
        <v>699.4191620663712</v>
      </c>
      <c r="AG31" s="10">
        <v>266.38046399745235</v>
      </c>
      <c r="AH31" s="10">
        <v>-75.120587870471468</v>
      </c>
      <c r="AI31" s="10">
        <v>-236.19164289918842</v>
      </c>
      <c r="AJ31" s="10">
        <v>-215.96942887851128</v>
      </c>
      <c r="AK31" s="10">
        <v>13.021759337354752</v>
      </c>
      <c r="AL31" s="10">
        <v>-71.761413822231916</v>
      </c>
      <c r="AN31" s="19">
        <v>5.2045942475603485E-2</v>
      </c>
      <c r="AO31" s="19">
        <v>5.3689496661530556E-2</v>
      </c>
      <c r="AP31" s="19">
        <v>5.4316101694915256E-2</v>
      </c>
      <c r="AQ31" s="19">
        <v>5.4583790691417805E-2</v>
      </c>
      <c r="AR31" s="19">
        <v>5.4687368845843416E-2</v>
      </c>
      <c r="AS31" s="19">
        <v>5.4868966908797417E-2</v>
      </c>
      <c r="AT31" s="19">
        <v>5.6216893924263898E-2</v>
      </c>
      <c r="AU31" s="19">
        <v>5.756482093973038E-2</v>
      </c>
      <c r="AV31" s="19">
        <v>5.8912747955196867E-2</v>
      </c>
      <c r="AW31" s="19">
        <v>6.0260674970663355E-2</v>
      </c>
      <c r="AX31" s="19">
        <v>6.160860198612983E-2</v>
      </c>
      <c r="AY31" s="19">
        <v>6.2956529001596317E-2</v>
      </c>
      <c r="AZ31" s="19">
        <v>6.4304456017062805E-2</v>
      </c>
      <c r="BA31" s="19">
        <v>6.565238303252928E-2</v>
      </c>
      <c r="BB31" s="19">
        <v>7.3687477604784002E-2</v>
      </c>
      <c r="BC31" s="19">
        <v>8.4118481333353534E-2</v>
      </c>
      <c r="BE31" s="19">
        <v>4.0690249999999997E-2</v>
      </c>
      <c r="BF31" s="19">
        <v>4.3590249999999997E-2</v>
      </c>
      <c r="BG31" s="19">
        <v>4.6490249999999997E-2</v>
      </c>
      <c r="BH31" s="19">
        <v>4.966358333333333E-2</v>
      </c>
      <c r="BI31" s="19">
        <v>5.3780249999999995E-2</v>
      </c>
      <c r="BJ31" s="19">
        <v>6.4700250000000001E-2</v>
      </c>
      <c r="BK31" s="19">
        <v>5.5319089623451112E-2</v>
      </c>
      <c r="BL31" s="19">
        <v>5.5114750360105713E-2</v>
      </c>
      <c r="BM31" s="19">
        <v>5.5313884454931794E-2</v>
      </c>
      <c r="BN31" s="19">
        <v>5.5697522226837881E-2</v>
      </c>
      <c r="BO31" s="19">
        <v>5.2988706993742807E-2</v>
      </c>
      <c r="BP31" s="19">
        <v>5.4369158184042976E-2</v>
      </c>
      <c r="BQ31" s="19">
        <v>5.5844894918109733E-2</v>
      </c>
      <c r="BR31" s="19">
        <v>5.722836310538737E-2</v>
      </c>
      <c r="BS31" s="19">
        <v>6.1258673021802539E-2</v>
      </c>
      <c r="BT31" s="19">
        <v>6.6780455308715791E-2</v>
      </c>
      <c r="BV31" s="10">
        <v>9547.1126730993965</v>
      </c>
      <c r="BW31" s="10">
        <v>5210.4886370469512</v>
      </c>
      <c r="BX31" s="10">
        <v>2617.126786948379</v>
      </c>
      <c r="BY31" s="10">
        <v>6053.090061496815</v>
      </c>
      <c r="BZ31" s="10">
        <v>10627.575909696325</v>
      </c>
      <c r="CA31" s="10">
        <v>10608.973520191721</v>
      </c>
      <c r="CB31" s="10">
        <v>5412.0803231259215</v>
      </c>
      <c r="CC31" s="10">
        <v>5102.0705667270386</v>
      </c>
      <c r="CD31" s="10">
        <v>2656.7527921201527</v>
      </c>
      <c r="CE31" s="10">
        <v>2932.6470468308316</v>
      </c>
      <c r="CF31" s="10">
        <v>2360.1092906167169</v>
      </c>
      <c r="CG31" s="10">
        <v>1773.611644331387</v>
      </c>
      <c r="CH31" s="10">
        <v>878.77990598367842</v>
      </c>
      <c r="CI31" s="10">
        <v>693.20445100932511</v>
      </c>
      <c r="CJ31" s="10">
        <v>2528.6671464270662</v>
      </c>
      <c r="CK31" s="10">
        <v>338.17666575604682</v>
      </c>
      <c r="CL31" s="10"/>
      <c r="CM31" s="10">
        <v>16521.596941470118</v>
      </c>
      <c r="CN31" s="10">
        <v>930.53317176908013</v>
      </c>
      <c r="CO31" s="10">
        <v>2544.1057626317188</v>
      </c>
      <c r="CP31" s="10">
        <v>2284.3562846951131</v>
      </c>
      <c r="CQ31" s="10">
        <v>2127.2543423683005</v>
      </c>
      <c r="CR31" s="10">
        <v>5448.6295791664506</v>
      </c>
      <c r="CS31" s="10">
        <v>4187.7942127717588</v>
      </c>
      <c r="CT31" s="10">
        <v>5736.3282543624027</v>
      </c>
      <c r="CU31" s="10">
        <v>2545.5820208782739</v>
      </c>
      <c r="CV31" s="10">
        <v>530.69118070665479</v>
      </c>
      <c r="CW31" s="10">
        <v>978.15962935359983</v>
      </c>
      <c r="CX31" s="10">
        <v>209.73898035877974</v>
      </c>
      <c r="CY31" s="10">
        <v>221.19580308415965</v>
      </c>
      <c r="CZ31" s="10">
        <v>4187.2196361116194</v>
      </c>
      <c r="DA31" s="10">
        <v>2080.7296125242942</v>
      </c>
      <c r="DB31" s="10">
        <v>8.4050099489976041E-5</v>
      </c>
      <c r="DC31" s="10"/>
      <c r="DD31" s="10">
        <v>8951.5026593111234</v>
      </c>
      <c r="DE31" s="10">
        <v>1941.0083695513224</v>
      </c>
      <c r="DF31" s="10">
        <v>1429.3795102996446</v>
      </c>
      <c r="DG31" s="10">
        <v>1806.991866562561</v>
      </c>
      <c r="DH31" s="10">
        <v>2227.5506289253894</v>
      </c>
      <c r="DI31" s="10">
        <v>2904.0183980910278</v>
      </c>
      <c r="DJ31" s="10">
        <v>1675.109882087947</v>
      </c>
      <c r="DK31" s="10">
        <v>2002.7114125911226</v>
      </c>
      <c r="DL31" s="10">
        <v>1704.6052074643958</v>
      </c>
      <c r="DM31" s="10">
        <v>1679.8866534000206</v>
      </c>
      <c r="DN31" s="10">
        <v>502.44688762456167</v>
      </c>
      <c r="DO31" s="10">
        <v>267.00329191187052</v>
      </c>
      <c r="DP31" s="10">
        <v>67.10077132093592</v>
      </c>
      <c r="DQ31" s="10">
        <v>94.661932417197235</v>
      </c>
      <c r="DR31" s="10">
        <v>313.51099384311203</v>
      </c>
      <c r="DS31" s="10">
        <v>0.46081881875426423</v>
      </c>
      <c r="DT31" s="10"/>
      <c r="DU31" s="10">
        <v>6472.0330985747132</v>
      </c>
      <c r="DV31" s="10">
        <v>1269.2926514672245</v>
      </c>
      <c r="DW31" s="10">
        <v>3663.4395678444976</v>
      </c>
      <c r="DX31" s="10">
        <v>2162.4681007422987</v>
      </c>
      <c r="DY31" s="10">
        <v>1460.9263086630031</v>
      </c>
      <c r="DZ31" s="10">
        <v>2021.5692221271545</v>
      </c>
      <c r="EA31" s="10">
        <v>1758.3579668068953</v>
      </c>
      <c r="EB31" s="10">
        <v>3917.1431706850835</v>
      </c>
      <c r="EC31" s="10">
        <v>3526.0368815791771</v>
      </c>
      <c r="ED31" s="10">
        <v>980.46749133364938</v>
      </c>
      <c r="EE31" s="10">
        <v>236.06642362710932</v>
      </c>
      <c r="EF31" s="10">
        <v>342.12387978234199</v>
      </c>
      <c r="EG31" s="10">
        <v>303.29241422012433</v>
      </c>
      <c r="EH31" s="10">
        <v>310.63136129570853</v>
      </c>
      <c r="EI31" s="10">
        <v>300.48923450575728</v>
      </c>
      <c r="EJ31" s="10">
        <v>72.222232640986178</v>
      </c>
      <c r="EL31" s="21" t="b">
        <v>1</v>
      </c>
      <c r="EM31" s="21" t="b">
        <v>1</v>
      </c>
      <c r="EN31" s="21" t="b">
        <v>1</v>
      </c>
      <c r="EO31" s="21" t="b">
        <v>1</v>
      </c>
      <c r="EP31" s="21" t="b">
        <v>1</v>
      </c>
      <c r="EQ31" s="21" t="b">
        <v>1</v>
      </c>
      <c r="ER31" s="21" t="b">
        <v>1</v>
      </c>
      <c r="ES31" s="21" t="b">
        <v>0</v>
      </c>
      <c r="ET31" s="21" t="b">
        <v>1</v>
      </c>
      <c r="EU31" s="21" t="b">
        <v>1</v>
      </c>
      <c r="EV31" s="21" t="b">
        <v>1</v>
      </c>
      <c r="EW31" s="21" t="b">
        <v>1</v>
      </c>
      <c r="EX31" s="21" t="b">
        <v>1</v>
      </c>
      <c r="EY31" s="21" t="b">
        <v>1</v>
      </c>
      <c r="EZ31" s="21" t="b">
        <v>1</v>
      </c>
      <c r="FA31" s="21" t="b">
        <v>1</v>
      </c>
      <c r="FC31" s="21" t="b">
        <v>1</v>
      </c>
      <c r="FD31" s="21" t="b">
        <v>1</v>
      </c>
      <c r="FE31" s="21" t="b">
        <v>1</v>
      </c>
      <c r="FF31" s="21" t="b">
        <v>0</v>
      </c>
      <c r="FG31" s="21" t="b">
        <v>0</v>
      </c>
      <c r="FH31" s="21" t="b">
        <v>1</v>
      </c>
      <c r="FI31" s="21" t="b">
        <v>1</v>
      </c>
      <c r="FJ31" s="21" t="b">
        <v>1</v>
      </c>
      <c r="FK31" s="21" t="b">
        <v>1</v>
      </c>
      <c r="FL31" s="21" t="b">
        <v>1</v>
      </c>
      <c r="FM31" s="21" t="b">
        <v>1</v>
      </c>
      <c r="FN31" s="21" t="b">
        <v>1</v>
      </c>
      <c r="FO31" s="21" t="b">
        <v>1</v>
      </c>
      <c r="FP31" s="21" t="b">
        <v>1</v>
      </c>
      <c r="FQ31" s="21" t="b">
        <v>1</v>
      </c>
      <c r="FR31" s="21" t="b">
        <v>1</v>
      </c>
    </row>
    <row r="32" spans="1:176" x14ac:dyDescent="0.25">
      <c r="A32" t="str">
        <f t="shared" si="0"/>
        <v xml:space="preserve">Sep 2017 </v>
      </c>
      <c r="B32" s="2">
        <v>43008</v>
      </c>
      <c r="C32" s="11">
        <v>2.8</v>
      </c>
      <c r="D32" s="18">
        <v>17231.75</v>
      </c>
      <c r="E32" s="11"/>
      <c r="F32" s="10">
        <v>-9727.6268921545452</v>
      </c>
      <c r="G32" s="10">
        <v>2559.5051647817918</v>
      </c>
      <c r="H32" s="10">
        <v>280.32891484963466</v>
      </c>
      <c r="I32" s="10">
        <v>4301.3870007131072</v>
      </c>
      <c r="J32" s="10">
        <v>10429.27737603461</v>
      </c>
      <c r="K32" s="10">
        <v>6209.7339985170847</v>
      </c>
      <c r="L32" s="10">
        <v>3022.5840991091736</v>
      </c>
      <c r="M32" s="10">
        <v>-1914.1053726294363</v>
      </c>
      <c r="N32" s="10">
        <v>268.04095771533457</v>
      </c>
      <c r="O32" s="10">
        <v>2486.9689131969863</v>
      </c>
      <c r="P32" s="10">
        <v>1245.7585291346791</v>
      </c>
      <c r="Q32" s="10">
        <v>1573.2844634765429</v>
      </c>
      <c r="R32" s="10">
        <v>653.42946021261946</v>
      </c>
      <c r="S32" s="10">
        <v>-3422.4573972276821</v>
      </c>
      <c r="T32" s="10">
        <v>493.91481440400821</v>
      </c>
      <c r="U32" s="10">
        <v>180.00470648311105</v>
      </c>
      <c r="V32" s="20"/>
      <c r="W32" s="10">
        <v>2090.7639471225366</v>
      </c>
      <c r="X32" s="10">
        <v>484.81978517223371</v>
      </c>
      <c r="Y32" s="10">
        <v>-2050.2150903943652</v>
      </c>
      <c r="Z32" s="10">
        <v>-203.26869478719982</v>
      </c>
      <c r="AA32" s="10">
        <v>1117.1891857661481</v>
      </c>
      <c r="AB32" s="10">
        <v>778.68863027035081</v>
      </c>
      <c r="AC32" s="10">
        <v>105.24209244524408</v>
      </c>
      <c r="AD32" s="10">
        <v>-2013.4714802650817</v>
      </c>
      <c r="AE32" s="10">
        <v>-1756.1672000032925</v>
      </c>
      <c r="AF32" s="10">
        <v>564.97383913819738</v>
      </c>
      <c r="AG32" s="10">
        <v>258.02805040166027</v>
      </c>
      <c r="AH32" s="10">
        <v>-73.172163670902989</v>
      </c>
      <c r="AI32" s="10">
        <v>-234.83188061581467</v>
      </c>
      <c r="AJ32" s="10">
        <v>-215.74231975522736</v>
      </c>
      <c r="AK32" s="10">
        <v>9.442176402488542</v>
      </c>
      <c r="AL32" s="10">
        <v>-71.981680408094746</v>
      </c>
      <c r="AN32" s="19">
        <v>5.2219286081150479E-2</v>
      </c>
      <c r="AO32" s="19">
        <v>5.4093965074473546E-2</v>
      </c>
      <c r="AP32" s="19">
        <v>5.4951694915254243E-2</v>
      </c>
      <c r="AQ32" s="19">
        <v>5.5171181956775173E-2</v>
      </c>
      <c r="AR32" s="19">
        <v>5.5282606941081516E-2</v>
      </c>
      <c r="AS32" s="19">
        <v>5.5555004035512515E-2</v>
      </c>
      <c r="AT32" s="19">
        <v>5.6871885192926568E-2</v>
      </c>
      <c r="AU32" s="19">
        <v>5.8188766350340627E-2</v>
      </c>
      <c r="AV32" s="19">
        <v>5.9505647507754694E-2</v>
      </c>
      <c r="AW32" s="19">
        <v>6.0822528665168761E-2</v>
      </c>
      <c r="AX32" s="19">
        <v>6.2139409822582814E-2</v>
      </c>
      <c r="AY32" s="19">
        <v>6.3456290979996874E-2</v>
      </c>
      <c r="AZ32" s="19">
        <v>6.4773172137410934E-2</v>
      </c>
      <c r="BA32" s="19">
        <v>6.6090053294824994E-2</v>
      </c>
      <c r="BB32" s="19">
        <v>7.3993467773147997E-2</v>
      </c>
      <c r="BC32" s="19">
        <v>8.4181373955402039E-2</v>
      </c>
      <c r="BE32" s="19">
        <v>4.5073041666666661E-2</v>
      </c>
      <c r="BF32" s="19">
        <v>4.7856374999999993E-2</v>
      </c>
      <c r="BG32" s="19">
        <v>5.0639708333333339E-2</v>
      </c>
      <c r="BH32" s="19">
        <v>5.4179708333333326E-2</v>
      </c>
      <c r="BI32" s="19">
        <v>5.8029708333333332E-2</v>
      </c>
      <c r="BJ32" s="19">
        <v>6.7599708333333342E-2</v>
      </c>
      <c r="BK32" s="19">
        <v>5.7205775277659743E-2</v>
      </c>
      <c r="BL32" s="19">
        <v>5.6900438103044348E-2</v>
      </c>
      <c r="BM32" s="19">
        <v>5.6999200562123986E-2</v>
      </c>
      <c r="BN32" s="19">
        <v>5.7282685709626802E-2</v>
      </c>
      <c r="BO32" s="19">
        <v>5.4046542821815924E-2</v>
      </c>
      <c r="BP32" s="19">
        <v>5.5358455455587985E-2</v>
      </c>
      <c r="BQ32" s="19">
        <v>5.6768683196384784E-2</v>
      </c>
      <c r="BR32" s="19">
        <v>5.8093038361324956E-2</v>
      </c>
      <c r="BS32" s="19">
        <v>6.192995204084132E-2</v>
      </c>
      <c r="BT32" s="19">
        <v>6.7200246652204532E-2</v>
      </c>
      <c r="BV32" s="10">
        <v>7519.9740107620228</v>
      </c>
      <c r="BW32" s="10">
        <v>3744.3859476203752</v>
      </c>
      <c r="BX32" s="10">
        <v>2843.6785809556941</v>
      </c>
      <c r="BY32" s="10">
        <v>6069.370951483068</v>
      </c>
      <c r="BZ32" s="10">
        <v>12753.291330693626</v>
      </c>
      <c r="CA32" s="10">
        <v>11542.046410134719</v>
      </c>
      <c r="CB32" s="10">
        <v>7618.5461527742209</v>
      </c>
      <c r="CC32" s="10">
        <v>3524.529009365659</v>
      </c>
      <c r="CD32" s="10">
        <v>2874.112882656807</v>
      </c>
      <c r="CE32" s="10">
        <v>3019.8191016084888</v>
      </c>
      <c r="CF32" s="10">
        <v>2262.0074515609613</v>
      </c>
      <c r="CG32" s="10">
        <v>1776.1591086764647</v>
      </c>
      <c r="CH32" s="10">
        <v>887.05990682481001</v>
      </c>
      <c r="CI32" s="10">
        <v>699.56893236759231</v>
      </c>
      <c r="CJ32" s="10">
        <v>2648.6562476778067</v>
      </c>
      <c r="CK32" s="10">
        <v>180.00478240275822</v>
      </c>
      <c r="CL32" s="10"/>
      <c r="CM32" s="10">
        <v>17247.600902916569</v>
      </c>
      <c r="CN32" s="10">
        <v>1184.8807828385834</v>
      </c>
      <c r="CO32" s="10">
        <v>2563.3496661060594</v>
      </c>
      <c r="CP32" s="10">
        <v>1767.9839507699617</v>
      </c>
      <c r="CQ32" s="10">
        <v>2324.0139546590167</v>
      </c>
      <c r="CR32" s="10">
        <v>5332.3124116176341</v>
      </c>
      <c r="CS32" s="10">
        <v>4595.9620536650473</v>
      </c>
      <c r="CT32" s="10">
        <v>5438.6343819950953</v>
      </c>
      <c r="CU32" s="10">
        <v>2606.0719249414724</v>
      </c>
      <c r="CV32" s="10">
        <v>532.85018841150236</v>
      </c>
      <c r="CW32" s="10">
        <v>1016.2489224262823</v>
      </c>
      <c r="CX32" s="10">
        <v>202.87464519992184</v>
      </c>
      <c r="CY32" s="10">
        <v>233.63044661219055</v>
      </c>
      <c r="CZ32" s="10">
        <v>4122.0263295952745</v>
      </c>
      <c r="DA32" s="10">
        <v>2154.7414332737985</v>
      </c>
      <c r="DB32" s="10">
        <v>7.5919647178641694E-5</v>
      </c>
      <c r="DC32" s="10"/>
      <c r="DD32" s="10">
        <v>9283.2840598733619</v>
      </c>
      <c r="DE32" s="10">
        <v>1791.5745390397087</v>
      </c>
      <c r="DF32" s="10">
        <v>1496.1952945934224</v>
      </c>
      <c r="DG32" s="10">
        <v>1692.1315706873984</v>
      </c>
      <c r="DH32" s="10">
        <v>2586.2378935430502</v>
      </c>
      <c r="DI32" s="10">
        <v>2881.2289885207715</v>
      </c>
      <c r="DJ32" s="10">
        <v>2508.5256525261339</v>
      </c>
      <c r="DK32" s="10">
        <v>1645.9026676825147</v>
      </c>
      <c r="DL32" s="10">
        <v>1349.0550692878171</v>
      </c>
      <c r="DM32" s="10">
        <v>1589.1449565415846</v>
      </c>
      <c r="DN32" s="10">
        <v>476.02485228190517</v>
      </c>
      <c r="DO32" s="10">
        <v>266.47274095391884</v>
      </c>
      <c r="DP32" s="10">
        <v>65.613493092415482</v>
      </c>
      <c r="DQ32" s="10">
        <v>95.234836173848194</v>
      </c>
      <c r="DR32" s="10">
        <v>320.49040298663812</v>
      </c>
      <c r="DS32" s="10">
        <v>0.24055223289142866</v>
      </c>
      <c r="DT32" s="10"/>
      <c r="DU32" s="10">
        <v>7192.5201127508253</v>
      </c>
      <c r="DV32" s="10">
        <v>1306.7547538674751</v>
      </c>
      <c r="DW32" s="10">
        <v>3546.4103849877879</v>
      </c>
      <c r="DX32" s="10">
        <v>1895.4002654745982</v>
      </c>
      <c r="DY32" s="10">
        <v>1469.0487077769019</v>
      </c>
      <c r="DZ32" s="10">
        <v>2102.5403582504205</v>
      </c>
      <c r="EA32" s="10">
        <v>2403.2835600808899</v>
      </c>
      <c r="EB32" s="10">
        <v>3659.3741479475962</v>
      </c>
      <c r="EC32" s="10">
        <v>3105.2222692911091</v>
      </c>
      <c r="ED32" s="10">
        <v>1024.1711174033871</v>
      </c>
      <c r="EE32" s="10">
        <v>217.99680188024493</v>
      </c>
      <c r="EF32" s="10">
        <v>339.64490462482183</v>
      </c>
      <c r="EG32" s="10">
        <v>300.44537370823014</v>
      </c>
      <c r="EH32" s="10">
        <v>310.97715592907554</v>
      </c>
      <c r="EI32" s="10">
        <v>311.04822658414957</v>
      </c>
      <c r="EJ32" s="10">
        <v>72.222232640986178</v>
      </c>
      <c r="EL32" s="21" t="b">
        <v>1</v>
      </c>
      <c r="EM32" s="21" t="b">
        <v>1</v>
      </c>
      <c r="EN32" s="21" t="b">
        <v>1</v>
      </c>
      <c r="EO32" s="21" t="b">
        <v>1</v>
      </c>
      <c r="EP32" s="21" t="b">
        <v>1</v>
      </c>
      <c r="EQ32" s="21" t="b">
        <v>1</v>
      </c>
      <c r="ER32" s="21" t="b">
        <v>1</v>
      </c>
      <c r="ES32" s="21" t="b">
        <v>1</v>
      </c>
      <c r="ET32" s="21" t="b">
        <v>1</v>
      </c>
      <c r="EU32" s="21" t="b">
        <v>1</v>
      </c>
      <c r="EV32" s="21" t="b">
        <v>1</v>
      </c>
      <c r="EW32" s="21" t="b">
        <v>1</v>
      </c>
      <c r="EX32" s="21" t="b">
        <v>1</v>
      </c>
      <c r="EY32" s="21" t="b">
        <v>1</v>
      </c>
      <c r="EZ32" s="21" t="b">
        <v>1</v>
      </c>
      <c r="FA32" s="21" t="b">
        <v>1</v>
      </c>
      <c r="FC32" s="21" t="b">
        <v>1</v>
      </c>
      <c r="FD32" s="21" t="b">
        <v>1</v>
      </c>
      <c r="FE32" s="21" t="b">
        <v>1</v>
      </c>
      <c r="FF32" s="21" t="b">
        <v>1</v>
      </c>
      <c r="FG32" s="21" t="b">
        <v>1</v>
      </c>
      <c r="FH32" s="21" t="b">
        <v>1</v>
      </c>
      <c r="FI32" s="21" t="b">
        <v>1</v>
      </c>
      <c r="FJ32" s="21" t="b">
        <v>1</v>
      </c>
      <c r="FK32" s="21" t="b">
        <v>1</v>
      </c>
      <c r="FL32" s="21" t="b">
        <v>1</v>
      </c>
      <c r="FM32" s="21" t="b">
        <v>1</v>
      </c>
      <c r="FN32" s="21" t="b">
        <v>1</v>
      </c>
      <c r="FO32" s="21" t="b">
        <v>1</v>
      </c>
      <c r="FP32" s="21" t="b">
        <v>1</v>
      </c>
      <c r="FQ32" s="21" t="b">
        <v>1</v>
      </c>
      <c r="FR32" s="21" t="b">
        <v>1</v>
      </c>
    </row>
    <row r="33" spans="1:174" x14ac:dyDescent="0.25">
      <c r="A33" t="str">
        <f t="shared" si="0"/>
        <v xml:space="preserve">Dec 2017 </v>
      </c>
      <c r="B33" s="2">
        <v>43100</v>
      </c>
      <c r="C33" s="11">
        <v>2.8</v>
      </c>
      <c r="D33" s="18">
        <v>17710</v>
      </c>
      <c r="E33" s="11"/>
      <c r="F33" s="10">
        <v>-9499.8136056293115</v>
      </c>
      <c r="G33" s="10">
        <v>2440.0164078015359</v>
      </c>
      <c r="H33" s="10">
        <v>72.112516386310745</v>
      </c>
      <c r="I33" s="10">
        <v>6688.6576768445721</v>
      </c>
      <c r="J33" s="10">
        <v>8454.4773437285985</v>
      </c>
      <c r="K33" s="10">
        <v>6346.5643271586396</v>
      </c>
      <c r="L33" s="10">
        <v>3074.5795584380517</v>
      </c>
      <c r="M33" s="10">
        <v>-2215.6168872560975</v>
      </c>
      <c r="N33" s="10">
        <v>174.34827980012551</v>
      </c>
      <c r="O33" s="10">
        <v>2905.5436718260398</v>
      </c>
      <c r="P33" s="10">
        <v>1194.7072953313807</v>
      </c>
      <c r="Q33" s="10">
        <v>1586.7412880900663</v>
      </c>
      <c r="R33" s="10">
        <v>652.57789017886569</v>
      </c>
      <c r="S33" s="10">
        <v>-3785.1574440407821</v>
      </c>
      <c r="T33" s="10">
        <v>418.81571686751431</v>
      </c>
      <c r="U33" s="10">
        <v>178.54834442345199</v>
      </c>
      <c r="V33" s="20"/>
      <c r="W33" s="10">
        <v>2418.7645550296224</v>
      </c>
      <c r="X33" s="10">
        <v>672.25114293727836</v>
      </c>
      <c r="Y33" s="10">
        <v>-2577.3385406637708</v>
      </c>
      <c r="Z33" s="10">
        <v>697.8192653904548</v>
      </c>
      <c r="AA33" s="10">
        <v>470.59768703459628</v>
      </c>
      <c r="AB33" s="10">
        <v>704.07996868431144</v>
      </c>
      <c r="AC33" s="10">
        <v>336.14551274988213</v>
      </c>
      <c r="AD33" s="10">
        <v>-2137.1598692980801</v>
      </c>
      <c r="AE33" s="10">
        <v>-1697.6690444079347</v>
      </c>
      <c r="AF33" s="10">
        <v>501.22259548993696</v>
      </c>
      <c r="AG33" s="10">
        <v>147.19468997450468</v>
      </c>
      <c r="AH33" s="10">
        <v>-103.32719235251068</v>
      </c>
      <c r="AI33" s="10">
        <v>-212.59536156882814</v>
      </c>
      <c r="AJ33" s="10">
        <v>-275.80736918937492</v>
      </c>
      <c r="AK33" s="10">
        <v>-59.234637725457276</v>
      </c>
      <c r="AL33" s="10">
        <v>-105.43219252815703</v>
      </c>
      <c r="AN33" s="19">
        <v>5.2392629686697473E-2</v>
      </c>
      <c r="AO33" s="19">
        <v>5.4498433487416537E-2</v>
      </c>
      <c r="AP33" s="19">
        <v>5.558728813559323E-2</v>
      </c>
      <c r="AQ33" s="19">
        <v>5.575857322213254E-2</v>
      </c>
      <c r="AR33" s="19">
        <v>5.5877845036319609E-2</v>
      </c>
      <c r="AS33" s="19">
        <v>5.6241041162227612E-2</v>
      </c>
      <c r="AT33" s="19">
        <v>5.7526876461589244E-2</v>
      </c>
      <c r="AU33" s="19">
        <v>5.8812711760950875E-2</v>
      </c>
      <c r="AV33" s="19">
        <v>6.0098547060312521E-2</v>
      </c>
      <c r="AW33" s="19">
        <v>6.1384382359674167E-2</v>
      </c>
      <c r="AX33" s="19">
        <v>6.2670217659035798E-2</v>
      </c>
      <c r="AY33" s="19">
        <v>6.395605295839743E-2</v>
      </c>
      <c r="AZ33" s="19">
        <v>6.5241888257759062E-2</v>
      </c>
      <c r="BA33" s="19">
        <v>6.6527723557120694E-2</v>
      </c>
      <c r="BB33" s="19">
        <v>7.4299457941511993E-2</v>
      </c>
      <c r="BC33" s="19">
        <v>8.4244266577450544E-2</v>
      </c>
      <c r="BE33" s="19">
        <v>4.9455833333333324E-2</v>
      </c>
      <c r="BF33" s="19">
        <v>5.2122499999999995E-2</v>
      </c>
      <c r="BG33" s="19">
        <v>5.4789166666666667E-2</v>
      </c>
      <c r="BH33" s="19">
        <v>5.8695833333333322E-2</v>
      </c>
      <c r="BI33" s="19">
        <v>6.2279166666666663E-2</v>
      </c>
      <c r="BJ33" s="19">
        <v>7.0499166666666668E-2</v>
      </c>
      <c r="BK33" s="19">
        <v>5.9092460931868374E-2</v>
      </c>
      <c r="BL33" s="19">
        <v>5.8686125845982984E-2</v>
      </c>
      <c r="BM33" s="19">
        <v>5.8684516669316178E-2</v>
      </c>
      <c r="BN33" s="19">
        <v>5.8867849192415722E-2</v>
      </c>
      <c r="BO33" s="19">
        <v>5.5104378649889041E-2</v>
      </c>
      <c r="BP33" s="19">
        <v>5.6347752727132994E-2</v>
      </c>
      <c r="BQ33" s="19">
        <v>5.7692471474659834E-2</v>
      </c>
      <c r="BR33" s="19">
        <v>5.8957713617262542E-2</v>
      </c>
      <c r="BS33" s="19">
        <v>6.2601231059880094E-2</v>
      </c>
      <c r="BT33" s="19">
        <v>6.7620037995693272E-2</v>
      </c>
      <c r="BV33" s="10">
        <v>7779.3495320036773</v>
      </c>
      <c r="BW33" s="10">
        <v>3646.6434092632526</v>
      </c>
      <c r="BX33" s="10">
        <v>2788.4053784044972</v>
      </c>
      <c r="BY33" s="10">
        <v>8798.8831988240199</v>
      </c>
      <c r="BZ33" s="10">
        <v>10727.865933412933</v>
      </c>
      <c r="CA33" s="10">
        <v>11939.64231954336</v>
      </c>
      <c r="CB33" s="10">
        <v>7858.3898318020147</v>
      </c>
      <c r="CC33" s="10">
        <v>3591.7474312985878</v>
      </c>
      <c r="CD33" s="10">
        <v>3165.4064880904903</v>
      </c>
      <c r="CE33" s="10">
        <v>3036.6995499641193</v>
      </c>
      <c r="CF33" s="10">
        <v>2250.0754263796957</v>
      </c>
      <c r="CG33" s="10">
        <v>1796.1947655962849</v>
      </c>
      <c r="CH33" s="10">
        <v>890.78630982571246</v>
      </c>
      <c r="CI33" s="10">
        <v>709.55110196005273</v>
      </c>
      <c r="CJ33" s="10">
        <v>2607.1084753500641</v>
      </c>
      <c r="CK33" s="10">
        <v>178.5484353255226</v>
      </c>
      <c r="CL33" s="10"/>
      <c r="CM33" s="10">
        <v>17279.16313763299</v>
      </c>
      <c r="CN33" s="10">
        <v>1206.6270014617162</v>
      </c>
      <c r="CO33" s="10">
        <v>2716.2928620181865</v>
      </c>
      <c r="CP33" s="10">
        <v>2110.2255219794474</v>
      </c>
      <c r="CQ33" s="10">
        <v>2273.3885896843358</v>
      </c>
      <c r="CR33" s="10">
        <v>5593.0779923847203</v>
      </c>
      <c r="CS33" s="10">
        <v>4783.8102733639626</v>
      </c>
      <c r="CT33" s="10">
        <v>5807.3643185546853</v>
      </c>
      <c r="CU33" s="10">
        <v>2991.0582082903647</v>
      </c>
      <c r="CV33" s="10">
        <v>131.15587813807957</v>
      </c>
      <c r="CW33" s="10">
        <v>1055.368131048315</v>
      </c>
      <c r="CX33" s="10">
        <v>209.45347750621872</v>
      </c>
      <c r="CY33" s="10">
        <v>238.20841964684681</v>
      </c>
      <c r="CZ33" s="10">
        <v>4494.7085460008348</v>
      </c>
      <c r="DA33" s="10">
        <v>2188.2927584825497</v>
      </c>
      <c r="DB33" s="10">
        <v>9.090207061100335E-5</v>
      </c>
      <c r="DC33" s="10"/>
      <c r="DD33" s="10">
        <v>9237.0180945728553</v>
      </c>
      <c r="DE33" s="10">
        <v>1996.4748245295061</v>
      </c>
      <c r="DF33" s="10">
        <v>1458.0356565821778</v>
      </c>
      <c r="DG33" s="10">
        <v>2337.6565161046979</v>
      </c>
      <c r="DH33" s="10">
        <v>2384.5400263655315</v>
      </c>
      <c r="DI33" s="10">
        <v>2827.4728590591048</v>
      </c>
      <c r="DJ33" s="10">
        <v>2479.5993219117777</v>
      </c>
      <c r="DK33" s="10">
        <v>1644.2823991896635</v>
      </c>
      <c r="DL33" s="10">
        <v>1460.6992661560957</v>
      </c>
      <c r="DM33" s="10">
        <v>1547.5455193019154</v>
      </c>
      <c r="DN33" s="10">
        <v>456.77952166390412</v>
      </c>
      <c r="DO33" s="10">
        <v>267.29275599448761</v>
      </c>
      <c r="DP33" s="10">
        <v>107.03514436055978</v>
      </c>
      <c r="DQ33" s="10">
        <v>52.214420722340037</v>
      </c>
      <c r="DR33" s="10">
        <v>328.66519433818638</v>
      </c>
      <c r="DS33" s="10">
        <v>0.12337344616248637</v>
      </c>
      <c r="DT33" s="10"/>
      <c r="DU33" s="10">
        <v>6818.2535395432333</v>
      </c>
      <c r="DV33" s="10">
        <v>1324.2236815922279</v>
      </c>
      <c r="DW33" s="10">
        <v>4035.3741972459484</v>
      </c>
      <c r="DX33" s="10">
        <v>1639.8372507142431</v>
      </c>
      <c r="DY33" s="10">
        <v>1913.9423393309355</v>
      </c>
      <c r="DZ33" s="10">
        <v>2123.3928903747933</v>
      </c>
      <c r="EA33" s="10">
        <v>2143.4538091618956</v>
      </c>
      <c r="EB33" s="10">
        <v>3781.4422684877441</v>
      </c>
      <c r="EC33" s="10">
        <v>3158.3683105640307</v>
      </c>
      <c r="ED33" s="10">
        <v>1046.3229238119784</v>
      </c>
      <c r="EE33" s="10">
        <v>309.58483168939944</v>
      </c>
      <c r="EF33" s="10">
        <v>370.61994834699829</v>
      </c>
      <c r="EG33" s="10">
        <v>319.63050592938794</v>
      </c>
      <c r="EH33" s="10">
        <v>328.02178991171496</v>
      </c>
      <c r="EI33" s="10">
        <v>387.89983206364366</v>
      </c>
      <c r="EJ33" s="10">
        <v>105.55556597431952</v>
      </c>
      <c r="EL33" s="21" t="b">
        <v>1</v>
      </c>
      <c r="EM33" s="21" t="b">
        <v>1</v>
      </c>
      <c r="EN33" s="21" t="b">
        <v>1</v>
      </c>
      <c r="EO33" s="21" t="b">
        <v>1</v>
      </c>
      <c r="EP33" s="21" t="b">
        <v>1</v>
      </c>
      <c r="EQ33" s="21" t="b">
        <v>1</v>
      </c>
      <c r="ER33" s="21" t="b">
        <v>1</v>
      </c>
      <c r="ES33" s="21" t="b">
        <v>1</v>
      </c>
      <c r="ET33" s="21" t="b">
        <v>1</v>
      </c>
      <c r="EU33" s="21" t="b">
        <v>1</v>
      </c>
      <c r="EV33" s="21" t="b">
        <v>1</v>
      </c>
      <c r="EW33" s="21" t="b">
        <v>1</v>
      </c>
      <c r="EX33" s="21" t="b">
        <v>1</v>
      </c>
      <c r="EY33" s="21" t="b">
        <v>1</v>
      </c>
      <c r="EZ33" s="21" t="b">
        <v>1</v>
      </c>
      <c r="FA33" s="21" t="b">
        <v>1</v>
      </c>
      <c r="FC33" s="21" t="b">
        <v>1</v>
      </c>
      <c r="FD33" s="21" t="b">
        <v>1</v>
      </c>
      <c r="FE33" s="21" t="b">
        <v>1</v>
      </c>
      <c r="FF33" s="21" t="b">
        <v>1</v>
      </c>
      <c r="FG33" s="21" t="b">
        <v>1</v>
      </c>
      <c r="FH33" s="21" t="b">
        <v>0</v>
      </c>
      <c r="FI33" s="21" t="b">
        <v>1</v>
      </c>
      <c r="FJ33" s="21" t="b">
        <v>1</v>
      </c>
      <c r="FK33" s="21" t="b">
        <v>1</v>
      </c>
      <c r="FL33" s="21" t="b">
        <v>1</v>
      </c>
      <c r="FM33" s="21" t="b">
        <v>1</v>
      </c>
      <c r="FN33" s="21" t="b">
        <v>1</v>
      </c>
      <c r="FO33" s="21" t="b">
        <v>1</v>
      </c>
      <c r="FP33" s="21" t="b">
        <v>1</v>
      </c>
      <c r="FQ33" s="21" t="b">
        <v>1</v>
      </c>
      <c r="FR33" s="21" t="b">
        <v>1</v>
      </c>
    </row>
    <row r="34" spans="1:174" x14ac:dyDescent="0.25">
      <c r="E34" s="11"/>
      <c r="EO34" s="21"/>
    </row>
    <row r="35" spans="1:174" x14ac:dyDescent="0.25">
      <c r="E35" s="11"/>
    </row>
    <row r="36" spans="1:174" x14ac:dyDescent="0.25">
      <c r="E36" s="11"/>
      <c r="BV36" s="10">
        <v>7025.8458862569123</v>
      </c>
      <c r="BW36" s="10">
        <v>2253.4713064495591</v>
      </c>
      <c r="BX36" s="10">
        <v>1653.5332517258521</v>
      </c>
      <c r="BY36" s="10">
        <v>4278.4518497827939</v>
      </c>
      <c r="BZ36" s="10">
        <v>6564.3088713331235</v>
      </c>
      <c r="CA36" s="10">
        <v>8504.0938009505589</v>
      </c>
      <c r="CB36" s="10">
        <v>5250.5038527308343</v>
      </c>
      <c r="CC36" s="10">
        <v>3472.2685811846536</v>
      </c>
      <c r="CD36" s="10">
        <v>1678.4217386812859</v>
      </c>
      <c r="CE36" s="10">
        <v>1190.7690669416966</v>
      </c>
      <c r="CF36" s="10">
        <v>3255.0340459816243</v>
      </c>
      <c r="CG36" s="10">
        <v>787.73320178892959</v>
      </c>
      <c r="CH36" s="10">
        <v>656.04159027822459</v>
      </c>
      <c r="CI36" s="10">
        <v>891.55209817647062</v>
      </c>
      <c r="CJ36" s="10">
        <v>2624.7424747357272</v>
      </c>
      <c r="CK36" s="10">
        <v>409.89347877366453</v>
      </c>
      <c r="CM36" s="10">
        <v>11838.499046802568</v>
      </c>
      <c r="CN36" s="10">
        <v>2028.8993884527947</v>
      </c>
      <c r="CO36" s="10">
        <v>1063.0150300947953</v>
      </c>
      <c r="CP36" s="10">
        <v>2833.0644345851651</v>
      </c>
      <c r="CQ36" s="10">
        <v>2366.0016121212107</v>
      </c>
      <c r="CR36" s="10">
        <v>3340.535501101358</v>
      </c>
      <c r="CS36" s="10">
        <v>2755.8553290723848</v>
      </c>
      <c r="CT36" s="10">
        <v>4280.8305387877172</v>
      </c>
      <c r="CU36" s="10">
        <v>1918.1993041112844</v>
      </c>
      <c r="CV36" s="10">
        <v>83.871631142209296</v>
      </c>
      <c r="CW36" s="10">
        <v>489.44543369673886</v>
      </c>
      <c r="CX36" s="10">
        <v>205.15826074257214</v>
      </c>
      <c r="CY36" s="10">
        <v>438.72701074257208</v>
      </c>
      <c r="CZ36" s="10">
        <v>3647.4997963150563</v>
      </c>
      <c r="DA36" s="10">
        <v>1502.8123297054285</v>
      </c>
      <c r="DB36" s="10">
        <v>6.2773030551996253E-5</v>
      </c>
    </row>
    <row r="37" spans="1:174" x14ac:dyDescent="0.25">
      <c r="E37" s="11"/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0</v>
      </c>
      <c r="CF37" s="18">
        <v>0</v>
      </c>
      <c r="CG37" s="18">
        <v>0</v>
      </c>
      <c r="CH37" s="18">
        <v>0</v>
      </c>
      <c r="CI37" s="18">
        <v>0</v>
      </c>
      <c r="CJ37" s="18">
        <v>0</v>
      </c>
      <c r="CK37" s="18">
        <v>0</v>
      </c>
      <c r="CM37" s="18">
        <v>0</v>
      </c>
      <c r="CN37" s="18">
        <v>0</v>
      </c>
      <c r="CO37" s="18">
        <v>0</v>
      </c>
      <c r="CP37" s="18">
        <v>0</v>
      </c>
      <c r="CQ37" s="18">
        <v>0</v>
      </c>
      <c r="CR37" s="18">
        <v>0</v>
      </c>
      <c r="CS37" s="18">
        <v>0</v>
      </c>
      <c r="CT37" s="18">
        <v>0</v>
      </c>
      <c r="CU37" s="18">
        <v>0</v>
      </c>
      <c r="CV37" s="18">
        <v>0</v>
      </c>
      <c r="CW37" s="18">
        <v>0</v>
      </c>
      <c r="CX37" s="18">
        <v>0</v>
      </c>
      <c r="CY37" s="18">
        <v>0</v>
      </c>
      <c r="CZ37" s="18">
        <v>0</v>
      </c>
      <c r="DA37" s="18">
        <v>0</v>
      </c>
      <c r="DB37" s="18">
        <v>0</v>
      </c>
    </row>
    <row r="38" spans="1:174" x14ac:dyDescent="0.25">
      <c r="E38" s="11"/>
    </row>
    <row r="39" spans="1:174" x14ac:dyDescent="0.25">
      <c r="E39" s="11"/>
    </row>
  </sheetData>
  <conditionalFormatting sqref="EL10:FA33">
    <cfRule type="cellIs" dxfId="1" priority="2" operator="notEqual">
      <formula>TRUE</formula>
    </cfRule>
  </conditionalFormatting>
  <conditionalFormatting sqref="FC10:FR33">
    <cfRule type="cellIs" dxfId="0" priority="1" operator="not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FF00"/>
  </sheetPr>
  <dimension ref="A1:JB63"/>
  <sheetViews>
    <sheetView zoomScale="85" zoomScaleNormal="85" workbookViewId="0">
      <pane xSplit="2" ySplit="9" topLeftCell="L10" activePane="bottomRight" state="frozen"/>
      <selection activeCell="I30" sqref="I30"/>
      <selection pane="topRight" activeCell="I30" sqref="I30"/>
      <selection pane="bottomLeft" activeCell="I30" sqref="I30"/>
      <selection pane="bottomRight" activeCell="F6" sqref="F6:U6"/>
    </sheetView>
  </sheetViews>
  <sheetFormatPr defaultColWidth="9.140625" defaultRowHeight="15" x14ac:dyDescent="0.25"/>
  <cols>
    <col min="1" max="1" width="6.85546875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0.2851562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28" max="236" width="12" bestFit="1" customWidth="1"/>
    <col min="237" max="237" width="11.85546875" customWidth="1"/>
    <col min="238" max="243" width="11.85546875" bestFit="1" customWidth="1"/>
    <col min="245" max="260" width="11.28515625" bestFit="1" customWidth="1"/>
    <col min="262" max="262" width="11.28515625" bestFit="1" customWidth="1"/>
  </cols>
  <sheetData>
    <row r="1" spans="2:262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2" x14ac:dyDescent="0.25">
      <c r="C2" t="s">
        <v>0</v>
      </c>
      <c r="D2" s="3">
        <f>+Datos!D2</f>
        <v>24</v>
      </c>
    </row>
    <row r="4" spans="2:262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2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2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2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T8" t="s">
        <v>60</v>
      </c>
      <c r="IK8" t="s">
        <v>61</v>
      </c>
    </row>
    <row r="9" spans="2:262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T9" s="3" t="str">
        <f>+$F$4</f>
        <v>1M</v>
      </c>
      <c r="HU9" s="3" t="str">
        <f>+$G$4</f>
        <v>2M</v>
      </c>
      <c r="HV9" s="3" t="str">
        <f>+$H$4</f>
        <v>3M</v>
      </c>
      <c r="HW9" s="3" t="str">
        <f>+$I$4</f>
        <v>4-6M</v>
      </c>
      <c r="HX9" s="3" t="str">
        <f>+$J$4</f>
        <v>7M-1A</v>
      </c>
      <c r="HY9" s="3" t="str">
        <f>+$K$4</f>
        <v>2A</v>
      </c>
      <c r="HZ9" s="3" t="str">
        <f>+$L$4</f>
        <v>3A</v>
      </c>
      <c r="IA9" s="3" t="str">
        <f>+$M$4</f>
        <v>4A</v>
      </c>
      <c r="IB9" s="3" t="str">
        <f>+$N$4</f>
        <v>5A</v>
      </c>
      <c r="IC9" s="3" t="str">
        <f>+$O$4</f>
        <v>6A</v>
      </c>
      <c r="ID9" s="3" t="str">
        <f>+$P$4</f>
        <v>7A</v>
      </c>
      <c r="IE9" s="3" t="str">
        <f>+$Q$4</f>
        <v>8A</v>
      </c>
      <c r="IF9" s="3" t="str">
        <f>+$R$4</f>
        <v>9A</v>
      </c>
      <c r="IG9" s="3" t="str">
        <f>+$S$4</f>
        <v>10A</v>
      </c>
      <c r="IH9" s="3" t="str">
        <f>+$T$4</f>
        <v>11-20A</v>
      </c>
      <c r="II9" s="3" t="str">
        <f>+$U$4</f>
        <v>&gt; 20A</v>
      </c>
      <c r="IK9" s="3" t="str">
        <f>+$F$4</f>
        <v>1M</v>
      </c>
      <c r="IL9" s="3" t="str">
        <f>+$G$4</f>
        <v>2M</v>
      </c>
      <c r="IM9" s="3" t="str">
        <f>+$H$4</f>
        <v>3M</v>
      </c>
      <c r="IN9" s="3" t="str">
        <f>+$I$4</f>
        <v>4-6M</v>
      </c>
      <c r="IO9" s="3" t="str">
        <f>+$J$4</f>
        <v>7M-1A</v>
      </c>
      <c r="IP9" s="3" t="str">
        <f>+$K$4</f>
        <v>2A</v>
      </c>
      <c r="IQ9" s="3" t="str">
        <f>+$L$4</f>
        <v>3A</v>
      </c>
      <c r="IR9" s="3" t="str">
        <f>+$M$4</f>
        <v>4A</v>
      </c>
      <c r="IS9" s="3" t="str">
        <f>+$N$4</f>
        <v>5A</v>
      </c>
      <c r="IT9" s="3" t="str">
        <f>+$O$4</f>
        <v>6A</v>
      </c>
      <c r="IU9" s="3" t="str">
        <f>+$P$4</f>
        <v>7A</v>
      </c>
      <c r="IV9" s="3" t="str">
        <f>+$Q$4</f>
        <v>8A</v>
      </c>
      <c r="IW9" s="3" t="str">
        <f>+$R$4</f>
        <v>9A</v>
      </c>
      <c r="IX9" s="3" t="str">
        <f>+$S$4</f>
        <v>10A</v>
      </c>
      <c r="IY9" s="3" t="str">
        <f>+$T$4</f>
        <v>11-20A</v>
      </c>
      <c r="IZ9" s="3" t="str">
        <f>+$U$4</f>
        <v>&gt; 20A</v>
      </c>
    </row>
    <row r="10" spans="2:262" x14ac:dyDescent="0.25">
      <c r="B10" s="24">
        <v>41578</v>
      </c>
      <c r="C10" s="25"/>
      <c r="D10" s="26"/>
      <c r="E10" s="10"/>
      <c r="F10" s="12">
        <v>3553.4061767900084</v>
      </c>
      <c r="G10" s="12">
        <v>37.770569399999999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226.32232824103892</v>
      </c>
      <c r="AO10" s="12">
        <v>96.676601617700783</v>
      </c>
      <c r="AP10" s="12">
        <v>49.253434494395897</v>
      </c>
      <c r="AQ10" s="12">
        <v>18.190491031483141</v>
      </c>
      <c r="AR10" s="12">
        <v>71.895053022659269</v>
      </c>
      <c r="AS10" s="12">
        <v>32.093895637683524</v>
      </c>
      <c r="AT10" s="12">
        <v>70.557575628470019</v>
      </c>
      <c r="AU10" s="12">
        <v>112.99654508809024</v>
      </c>
      <c r="AV10" s="12">
        <v>55.359029697610644</v>
      </c>
      <c r="AW10" s="12">
        <v>106.2343244907931</v>
      </c>
      <c r="AX10" s="12">
        <v>106.2343244907931</v>
      </c>
      <c r="AY10" s="12">
        <v>106.2343244907931</v>
      </c>
      <c r="AZ10" s="12">
        <v>106.2343244907931</v>
      </c>
      <c r="BA10" s="12">
        <v>106.2343244907931</v>
      </c>
      <c r="BB10" s="12">
        <v>14.650569890778911</v>
      </c>
      <c r="BC10" s="12">
        <v>0</v>
      </c>
      <c r="BD10" s="12"/>
      <c r="BE10" s="12">
        <v>2304.556983247744</v>
      </c>
      <c r="BF10" s="12">
        <v>2083.7383019992526</v>
      </c>
      <c r="BG10" s="12">
        <v>769.72197241524282</v>
      </c>
      <c r="BH10" s="12">
        <v>1021.0320416115682</v>
      </c>
      <c r="BI10" s="12">
        <v>1132.0832226373993</v>
      </c>
      <c r="BJ10" s="12">
        <v>1541.6846158497549</v>
      </c>
      <c r="BK10" s="12">
        <v>985.36780279488914</v>
      </c>
      <c r="BL10" s="12">
        <v>682.13399576877816</v>
      </c>
      <c r="BM10" s="12">
        <v>558.18182481192503</v>
      </c>
      <c r="BN10" s="12">
        <v>190.28594144848691</v>
      </c>
      <c r="BO10" s="12">
        <v>190.28594144848691</v>
      </c>
      <c r="BP10" s="12">
        <v>190.28594144848691</v>
      </c>
      <c r="BQ10" s="12">
        <v>190.28594144848691</v>
      </c>
      <c r="BR10" s="12">
        <v>190.28594144848691</v>
      </c>
      <c r="BS10" s="12">
        <v>245.78384165689229</v>
      </c>
      <c r="BT10" s="12">
        <v>13.784447485600191</v>
      </c>
      <c r="BU10" s="12"/>
      <c r="BV10" s="12">
        <v>3308.6171133759503</v>
      </c>
      <c r="BW10" s="12">
        <v>385.03872873273258</v>
      </c>
      <c r="BX10" s="12">
        <v>180.35114102145994</v>
      </c>
      <c r="BY10" s="12">
        <v>428.15441190193076</v>
      </c>
      <c r="BZ10" s="12">
        <v>681.48798242804173</v>
      </c>
      <c r="CA10" s="12">
        <v>570.654258927108</v>
      </c>
      <c r="CB10" s="12">
        <v>531.66942665996896</v>
      </c>
      <c r="CC10" s="12">
        <v>1753.3655291059904</v>
      </c>
      <c r="CD10" s="12">
        <v>1325.3483995317372</v>
      </c>
      <c r="CE10" s="12">
        <v>12.671100823206265</v>
      </c>
      <c r="CF10" s="12">
        <v>12.671100823206265</v>
      </c>
      <c r="CG10" s="12">
        <v>12.671100823206265</v>
      </c>
      <c r="CH10" s="12">
        <v>12.671100823206265</v>
      </c>
      <c r="CI10" s="12">
        <v>12.671100823206265</v>
      </c>
      <c r="CJ10" s="12">
        <v>1.2151144286706331E-5</v>
      </c>
      <c r="CK10" s="12">
        <v>1.2147817940063379E-5</v>
      </c>
      <c r="CL10" s="12"/>
      <c r="CM10" s="12">
        <v>61.001016666666665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38.707904045574708</v>
      </c>
      <c r="DE10" s="12">
        <v>2.5918044037682151</v>
      </c>
      <c r="DF10" s="12">
        <v>3.2754156946882325</v>
      </c>
      <c r="DG10" s="12">
        <v>1.9626680281544171</v>
      </c>
      <c r="DH10" s="12">
        <v>2.5862973642469766</v>
      </c>
      <c r="DI10" s="12">
        <v>0.74954527969324969</v>
      </c>
      <c r="DJ10" s="12">
        <v>0.74844641474099738</v>
      </c>
      <c r="DK10" s="12">
        <v>15.792466733681044</v>
      </c>
      <c r="DL10" s="12">
        <v>10.59649578006557</v>
      </c>
      <c r="DM10" s="12">
        <v>2.491642261939192E-2</v>
      </c>
      <c r="DN10" s="12">
        <v>2.491642261939192E-2</v>
      </c>
      <c r="DO10" s="12">
        <v>2.491642261939192E-2</v>
      </c>
      <c r="DP10" s="12">
        <v>2.491642261939192E-2</v>
      </c>
      <c r="DQ10" s="12">
        <v>2.491642261939192E-2</v>
      </c>
      <c r="DR10" s="12">
        <v>0</v>
      </c>
      <c r="DS10" s="12">
        <v>0</v>
      </c>
      <c r="DT10" s="12"/>
      <c r="DU10" s="12">
        <v>422.94135621082137</v>
      </c>
      <c r="DV10" s="12">
        <v>287.61097197021297</v>
      </c>
      <c r="DW10" s="12">
        <v>55.274263391344192</v>
      </c>
      <c r="DX10" s="12">
        <v>790.58930583793608</v>
      </c>
      <c r="DY10" s="12">
        <v>418.94164094699522</v>
      </c>
      <c r="DZ10" s="12">
        <v>218.22161674451237</v>
      </c>
      <c r="EA10" s="12">
        <v>472.45904389891274</v>
      </c>
      <c r="EB10" s="12">
        <v>150.96722699968461</v>
      </c>
      <c r="EC10" s="12">
        <v>81.496498644593927</v>
      </c>
      <c r="ED10" s="12">
        <v>40.628681695619406</v>
      </c>
      <c r="EE10" s="12">
        <v>40.628681695619406</v>
      </c>
      <c r="EF10" s="12">
        <v>40.628681695619406</v>
      </c>
      <c r="EG10" s="12">
        <v>40.628681695619406</v>
      </c>
      <c r="EH10" s="12">
        <v>40.628681695619406</v>
      </c>
      <c r="EI10" s="12">
        <v>3.5463633960438665</v>
      </c>
      <c r="EJ10" s="12">
        <v>0</v>
      </c>
      <c r="EK10" s="12"/>
      <c r="EL10" s="12">
        <v>14.214112284722223</v>
      </c>
      <c r="EM10" s="12">
        <v>0.28555989583333335</v>
      </c>
      <c r="EN10" s="12">
        <v>93.030468749999997</v>
      </c>
      <c r="EO10" s="12">
        <v>80.503757890624996</v>
      </c>
      <c r="EP10" s="12">
        <v>96.00466339236111</v>
      </c>
      <c r="EQ10" s="12">
        <v>191.29439554687499</v>
      </c>
      <c r="ER10" s="12">
        <v>658.34351886458342</v>
      </c>
      <c r="ES10" s="12">
        <v>167.72175831249999</v>
      </c>
      <c r="ET10" s="12">
        <v>164.6566125347222</v>
      </c>
      <c r="EU10" s="12">
        <v>647.71326948750004</v>
      </c>
      <c r="EV10" s="12">
        <v>647.71326948750004</v>
      </c>
      <c r="EW10" s="12">
        <v>647.71326948750004</v>
      </c>
      <c r="EX10" s="12">
        <v>647.71326948750004</v>
      </c>
      <c r="EY10" s="12">
        <v>647.71326948750004</v>
      </c>
      <c r="EZ10" s="12">
        <v>0</v>
      </c>
      <c r="FA10" s="12">
        <v>0</v>
      </c>
      <c r="FB10" s="12"/>
      <c r="FC10" s="12">
        <v>246.13264208670432</v>
      </c>
      <c r="FD10" s="12">
        <v>158.01226737771333</v>
      </c>
      <c r="FE10" s="12">
        <v>71.754352502874326</v>
      </c>
      <c r="FF10" s="12">
        <v>517.01973875134388</v>
      </c>
      <c r="FG10" s="12">
        <v>166.84228483801999</v>
      </c>
      <c r="FH10" s="12">
        <v>5.5169750755164717</v>
      </c>
      <c r="FI10" s="12">
        <v>5.5320900757233655</v>
      </c>
      <c r="FJ10" s="12">
        <v>5.5169750755164717</v>
      </c>
      <c r="FK10" s="12">
        <v>5.5169750755164717</v>
      </c>
      <c r="FL10" s="12">
        <v>19.731699789922807</v>
      </c>
      <c r="FM10" s="12">
        <v>19.731699789922807</v>
      </c>
      <c r="FN10" s="12">
        <v>19.731699789922807</v>
      </c>
      <c r="FO10" s="12">
        <v>19.731699789922807</v>
      </c>
      <c r="FP10" s="12">
        <v>19.731699789922807</v>
      </c>
      <c r="FQ10" s="12">
        <v>0</v>
      </c>
      <c r="FR10" s="12">
        <v>0</v>
      </c>
      <c r="FS10" s="12"/>
      <c r="FT10" s="12">
        <v>5.0643546025060875</v>
      </c>
      <c r="FU10" s="12">
        <v>38.701475122657463</v>
      </c>
      <c r="FV10" s="12">
        <v>6.1258330329543833</v>
      </c>
      <c r="FW10" s="12">
        <v>192.90853577794437</v>
      </c>
      <c r="FX10" s="12">
        <v>194.74309387097904</v>
      </c>
      <c r="FY10" s="12">
        <v>87.08426654798204</v>
      </c>
      <c r="FZ10" s="12">
        <v>206.33046082636261</v>
      </c>
      <c r="GA10" s="12">
        <v>66.681532937916657</v>
      </c>
      <c r="GB10" s="12">
        <v>26.442913943472213</v>
      </c>
      <c r="GC10" s="12">
        <v>86.17309631920557</v>
      </c>
      <c r="GD10" s="12">
        <v>86.17309631920557</v>
      </c>
      <c r="GE10" s="12">
        <v>86.17309631920557</v>
      </c>
      <c r="GF10" s="12">
        <v>86.17309631920557</v>
      </c>
      <c r="GG10" s="12">
        <v>86.17309631920557</v>
      </c>
      <c r="GH10" s="12">
        <v>0</v>
      </c>
      <c r="GI10" s="12">
        <v>0</v>
      </c>
      <c r="GJ10" s="12"/>
      <c r="GK10" s="12">
        <v>6084.2854882787915</v>
      </c>
      <c r="GL10" s="12">
        <v>2218.1854730169534</v>
      </c>
      <c r="GM10" s="12">
        <v>818.97540690963876</v>
      </c>
      <c r="GN10" s="12">
        <v>1039.2225326430514</v>
      </c>
      <c r="GO10" s="12">
        <v>1203.9782756600587</v>
      </c>
      <c r="GP10" s="12">
        <v>1573.7785114874384</v>
      </c>
      <c r="GQ10" s="12">
        <v>1055.9253784233592</v>
      </c>
      <c r="GR10" s="12">
        <v>795.13054085686838</v>
      </c>
      <c r="GS10" s="12">
        <v>613.54085450953562</v>
      </c>
      <c r="GT10" s="12">
        <v>296.52026593928002</v>
      </c>
      <c r="GU10" s="12">
        <v>296.52026593928002</v>
      </c>
      <c r="GV10" s="12">
        <v>296.52026593928002</v>
      </c>
      <c r="GW10" s="12">
        <v>296.52026593928002</v>
      </c>
      <c r="GX10" s="12">
        <v>296.52026593928002</v>
      </c>
      <c r="GY10" s="12">
        <v>260.43441154767117</v>
      </c>
      <c r="GZ10" s="12">
        <v>13.784447485600191</v>
      </c>
      <c r="HB10" s="12">
        <v>3845.4815025837352</v>
      </c>
      <c r="HC10" s="12">
        <v>675.52706500254703</v>
      </c>
      <c r="HD10" s="12">
        <v>331.93128885749235</v>
      </c>
      <c r="HE10" s="12">
        <v>1301.2101436586463</v>
      </c>
      <c r="HF10" s="12">
        <v>1199.0205841316451</v>
      </c>
      <c r="HG10" s="12">
        <v>980.91981649818865</v>
      </c>
      <c r="HH10" s="12">
        <v>1663.220435838206</v>
      </c>
      <c r="HI10" s="12">
        <v>2087.8469811518557</v>
      </c>
      <c r="HJ10" s="12">
        <v>1582.0980064911189</v>
      </c>
      <c r="HK10" s="12">
        <v>701.03796842894508</v>
      </c>
      <c r="HL10" s="12">
        <v>701.03796842894508</v>
      </c>
      <c r="HM10" s="12">
        <v>701.03796842894508</v>
      </c>
      <c r="HN10" s="12">
        <v>701.03796842894508</v>
      </c>
      <c r="HO10" s="12">
        <v>701.03796842894508</v>
      </c>
      <c r="HP10" s="12">
        <v>3.5463755471881533</v>
      </c>
      <c r="HQ10" s="12">
        <v>1.2147817940063379E-5</v>
      </c>
      <c r="HR10" s="6"/>
      <c r="HT10" s="21" t="b">
        <f>+GK10=F10+W10+AN10+BE10</f>
        <v>1</v>
      </c>
      <c r="HU10" s="21" t="b">
        <f t="shared" ref="HU10:II10" si="13">+GL10=G10+X10+AO10+BF10</f>
        <v>1</v>
      </c>
      <c r="HV10" s="21" t="b">
        <f t="shared" si="13"/>
        <v>1</v>
      </c>
      <c r="HW10" s="21" t="b">
        <f t="shared" si="13"/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K10" s="21" t="b">
        <f>+HB10=BV10+CM10+DD10+DU10+EL10</f>
        <v>1</v>
      </c>
      <c r="IL10" s="21" t="b">
        <f t="shared" ref="IL10:IZ10" si="14">+HC10=BW10+CN10+DE10+DV10+EM10</f>
        <v>1</v>
      </c>
      <c r="IM10" s="21" t="b">
        <f t="shared" si="14"/>
        <v>1</v>
      </c>
      <c r="IN10" s="21" t="b">
        <f t="shared" si="14"/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B10" s="21"/>
    </row>
    <row r="11" spans="2:262" x14ac:dyDescent="0.25">
      <c r="B11" s="24">
        <v>41608</v>
      </c>
      <c r="C11" s="25"/>
      <c r="D11" s="26"/>
      <c r="E11" s="10"/>
      <c r="F11" s="12">
        <v>4508.2202499837986</v>
      </c>
      <c r="G11" s="12">
        <v>1.506944444444445E-2</v>
      </c>
      <c r="H11" s="12">
        <v>25.014583333333331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32.000399999999999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51.620172990635687</v>
      </c>
      <c r="AO11" s="12">
        <v>215.53691632158913</v>
      </c>
      <c r="AP11" s="12">
        <v>8.5282512561575796</v>
      </c>
      <c r="AQ11" s="12">
        <v>167.88899240233206</v>
      </c>
      <c r="AR11" s="12">
        <v>69.794663539470648</v>
      </c>
      <c r="AS11" s="12">
        <v>101.10173061367345</v>
      </c>
      <c r="AT11" s="12">
        <v>8.0230643094045302</v>
      </c>
      <c r="AU11" s="12">
        <v>119.63222257938384</v>
      </c>
      <c r="AV11" s="12">
        <v>51.285581804712415</v>
      </c>
      <c r="AW11" s="12">
        <v>107.18888600386089</v>
      </c>
      <c r="AX11" s="12">
        <v>107.18888600386089</v>
      </c>
      <c r="AY11" s="12">
        <v>107.18888600386089</v>
      </c>
      <c r="AZ11" s="12">
        <v>107.18888600386089</v>
      </c>
      <c r="BA11" s="12">
        <v>107.18888600386089</v>
      </c>
      <c r="BB11" s="12">
        <v>13.86547677222952</v>
      </c>
      <c r="BC11" s="12">
        <v>0</v>
      </c>
      <c r="BD11" s="12"/>
      <c r="BE11" s="12">
        <v>1756.2209963066884</v>
      </c>
      <c r="BF11" s="12">
        <v>1852.5330397260363</v>
      </c>
      <c r="BG11" s="12">
        <v>1082.7158990413241</v>
      </c>
      <c r="BH11" s="12">
        <v>1109.1198986228969</v>
      </c>
      <c r="BI11" s="12">
        <v>1091.1449149109942</v>
      </c>
      <c r="BJ11" s="12">
        <v>1525.677630455089</v>
      </c>
      <c r="BK11" s="12">
        <v>990.93420431730624</v>
      </c>
      <c r="BL11" s="12">
        <v>667.14662251656773</v>
      </c>
      <c r="BM11" s="12">
        <v>587.59579669639356</v>
      </c>
      <c r="BN11" s="12">
        <v>173.99647255159562</v>
      </c>
      <c r="BO11" s="12">
        <v>173.99647255159562</v>
      </c>
      <c r="BP11" s="12">
        <v>173.99647255159562</v>
      </c>
      <c r="BQ11" s="12">
        <v>173.99647255159562</v>
      </c>
      <c r="BR11" s="12">
        <v>173.99647255159562</v>
      </c>
      <c r="BS11" s="12">
        <v>249.67473053790749</v>
      </c>
      <c r="BT11" s="12">
        <v>12.709193719547374</v>
      </c>
      <c r="BU11" s="12"/>
      <c r="BV11" s="12">
        <v>3807.9908646520171</v>
      </c>
      <c r="BW11" s="12">
        <v>426.47743587133328</v>
      </c>
      <c r="BX11" s="12">
        <v>175.17436467098264</v>
      </c>
      <c r="BY11" s="12">
        <v>451.73376046970196</v>
      </c>
      <c r="BZ11" s="12">
        <v>693.70759970532072</v>
      </c>
      <c r="CA11" s="12">
        <v>590.20091983641169</v>
      </c>
      <c r="CB11" s="12">
        <v>549.12649408468758</v>
      </c>
      <c r="CC11" s="12">
        <v>1833.4008265963316</v>
      </c>
      <c r="CD11" s="12">
        <v>1383.7647226926504</v>
      </c>
      <c r="CE11" s="12">
        <v>12.915472740882018</v>
      </c>
      <c r="CF11" s="12">
        <v>12.915472740882018</v>
      </c>
      <c r="CG11" s="12">
        <v>12.915472740882018</v>
      </c>
      <c r="CH11" s="12">
        <v>12.915472740882018</v>
      </c>
      <c r="CI11" s="12">
        <v>12.915472740882018</v>
      </c>
      <c r="CJ11" s="12">
        <v>1.0834448320439788E-5</v>
      </c>
      <c r="CK11" s="12">
        <v>1.0831482416163732E-5</v>
      </c>
      <c r="CL11" s="12"/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8.4006556563531305</v>
      </c>
      <c r="DE11" s="12">
        <v>5.0185613504714333</v>
      </c>
      <c r="DF11" s="12">
        <v>0.88300798312586282</v>
      </c>
      <c r="DG11" s="12">
        <v>1.2350362676100182</v>
      </c>
      <c r="DH11" s="12">
        <v>1.7025656614016975</v>
      </c>
      <c r="DI11" s="12">
        <v>0.8278037701699783</v>
      </c>
      <c r="DJ11" s="12">
        <v>0.82651149569153648</v>
      </c>
      <c r="DK11" s="12">
        <v>9.1303055255488523</v>
      </c>
      <c r="DL11" s="12">
        <v>6.2589627690629621</v>
      </c>
      <c r="DM11" s="12">
        <v>2.7859239350319111E-2</v>
      </c>
      <c r="DN11" s="12">
        <v>2.7859239350319111E-2</v>
      </c>
      <c r="DO11" s="12">
        <v>2.7859239350319111E-2</v>
      </c>
      <c r="DP11" s="12">
        <v>2.7859239350319111E-2</v>
      </c>
      <c r="DQ11" s="12">
        <v>2.7859239350319111E-2</v>
      </c>
      <c r="DR11" s="12">
        <v>0</v>
      </c>
      <c r="DS11" s="12">
        <v>0</v>
      </c>
      <c r="DT11" s="12"/>
      <c r="DU11" s="12">
        <v>283.81000468133868</v>
      </c>
      <c r="DV11" s="12">
        <v>427.88043917560265</v>
      </c>
      <c r="DW11" s="12">
        <v>260.12638918189765</v>
      </c>
      <c r="DX11" s="12">
        <v>573.64181832696022</v>
      </c>
      <c r="DY11" s="12">
        <v>441.56893283024897</v>
      </c>
      <c r="DZ11" s="12">
        <v>221.06619655401514</v>
      </c>
      <c r="EA11" s="12">
        <v>472.77670105248262</v>
      </c>
      <c r="EB11" s="12">
        <v>122.22449251861056</v>
      </c>
      <c r="EC11" s="12">
        <v>81.471652986630289</v>
      </c>
      <c r="ED11" s="12">
        <v>41.209967427550481</v>
      </c>
      <c r="EE11" s="12">
        <v>41.209967427550481</v>
      </c>
      <c r="EF11" s="12">
        <v>41.209967427550481</v>
      </c>
      <c r="EG11" s="12">
        <v>41.209967427550481</v>
      </c>
      <c r="EH11" s="12">
        <v>41.209967427550481</v>
      </c>
      <c r="EI11" s="12">
        <v>3.243321236390742</v>
      </c>
      <c r="EJ11" s="12">
        <v>0</v>
      </c>
      <c r="EK11" s="12"/>
      <c r="EL11" s="12">
        <v>93.030468750000011</v>
      </c>
      <c r="EM11" s="12">
        <v>1.6444970642361112</v>
      </c>
      <c r="EN11" s="12">
        <v>47.086715381944451</v>
      </c>
      <c r="EO11" s="12">
        <v>46.035099645833334</v>
      </c>
      <c r="EP11" s="12">
        <v>96.247917480902771</v>
      </c>
      <c r="EQ11" s="12">
        <v>191.29439554687499</v>
      </c>
      <c r="ER11" s="12">
        <v>659.36118968576386</v>
      </c>
      <c r="ES11" s="12">
        <v>164.6566125347222</v>
      </c>
      <c r="ET11" s="12">
        <v>164.6566125347222</v>
      </c>
      <c r="EU11" s="12">
        <v>645.22160282083337</v>
      </c>
      <c r="EV11" s="12">
        <v>645.22160282083337</v>
      </c>
      <c r="EW11" s="12">
        <v>645.22160282083337</v>
      </c>
      <c r="EX11" s="12">
        <v>645.22160282083337</v>
      </c>
      <c r="EY11" s="12">
        <v>645.22160282083337</v>
      </c>
      <c r="EZ11" s="12">
        <v>0</v>
      </c>
      <c r="FA11" s="12">
        <v>0</v>
      </c>
      <c r="FB11" s="12"/>
      <c r="FC11" s="12">
        <v>178.20728760111345</v>
      </c>
      <c r="FD11" s="12">
        <v>142.67771696614807</v>
      </c>
      <c r="FE11" s="12">
        <v>522.62791519050188</v>
      </c>
      <c r="FF11" s="12">
        <v>126.4082563505728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4.8531668187127854</v>
      </c>
      <c r="FU11" s="12">
        <v>4.6972496356409037</v>
      </c>
      <c r="FV11" s="12">
        <v>146.79688871270437</v>
      </c>
      <c r="FW11" s="12">
        <v>7.0141079979222702</v>
      </c>
      <c r="FX11" s="12">
        <v>45.357388982279012</v>
      </c>
      <c r="FY11" s="12">
        <v>110.72499195306867</v>
      </c>
      <c r="FZ11" s="12">
        <v>165.10081272190695</v>
      </c>
      <c r="GA11" s="12">
        <v>69.414016337916678</v>
      </c>
      <c r="GB11" s="12">
        <v>23.39976644347222</v>
      </c>
      <c r="GC11" s="12">
        <v>86.009573652538904</v>
      </c>
      <c r="GD11" s="12">
        <v>86.009573652538904</v>
      </c>
      <c r="GE11" s="12">
        <v>86.009573652538904</v>
      </c>
      <c r="GF11" s="12">
        <v>86.009573652538904</v>
      </c>
      <c r="GG11" s="12">
        <v>86.009573652538904</v>
      </c>
      <c r="GH11" s="12">
        <v>0</v>
      </c>
      <c r="GI11" s="12">
        <v>0</v>
      </c>
      <c r="GJ11" s="12"/>
      <c r="GK11" s="12">
        <v>6348.0618192811235</v>
      </c>
      <c r="GL11" s="12">
        <v>2068.0850254920697</v>
      </c>
      <c r="GM11" s="12">
        <v>1116.258733630815</v>
      </c>
      <c r="GN11" s="12">
        <v>1277.0088910252289</v>
      </c>
      <c r="GO11" s="12">
        <v>1160.9395784504648</v>
      </c>
      <c r="GP11" s="12">
        <v>1626.7793610687625</v>
      </c>
      <c r="GQ11" s="12">
        <v>998.95726862671074</v>
      </c>
      <c r="GR11" s="12">
        <v>786.77884509595151</v>
      </c>
      <c r="GS11" s="12">
        <v>638.88137850110593</v>
      </c>
      <c r="GT11" s="12">
        <v>281.1853585554565</v>
      </c>
      <c r="GU11" s="12">
        <v>281.1853585554565</v>
      </c>
      <c r="GV11" s="12">
        <v>281.1853585554565</v>
      </c>
      <c r="GW11" s="12">
        <v>281.1853585554565</v>
      </c>
      <c r="GX11" s="12">
        <v>281.1853585554565</v>
      </c>
      <c r="GY11" s="12">
        <v>263.54020731013702</v>
      </c>
      <c r="GZ11" s="12">
        <v>12.709193719547374</v>
      </c>
      <c r="HB11" s="12">
        <v>4193.2319937397087</v>
      </c>
      <c r="HC11" s="12">
        <v>861.02093346164349</v>
      </c>
      <c r="HD11" s="12">
        <v>483.2704772179506</v>
      </c>
      <c r="HE11" s="12">
        <v>1072.6457147101055</v>
      </c>
      <c r="HF11" s="12">
        <v>1233.2270156778741</v>
      </c>
      <c r="HG11" s="12">
        <v>1003.3893157074718</v>
      </c>
      <c r="HH11" s="12">
        <v>1682.0908963186257</v>
      </c>
      <c r="HI11" s="12">
        <v>2129.4122371752132</v>
      </c>
      <c r="HJ11" s="12">
        <v>1636.1519509830657</v>
      </c>
      <c r="HK11" s="12">
        <v>699.37490222861618</v>
      </c>
      <c r="HL11" s="12">
        <v>699.37490222861618</v>
      </c>
      <c r="HM11" s="12">
        <v>699.37490222861618</v>
      </c>
      <c r="HN11" s="12">
        <v>699.37490222861618</v>
      </c>
      <c r="HO11" s="12">
        <v>699.37490222861618</v>
      </c>
      <c r="HP11" s="12">
        <v>3.2433320708390623</v>
      </c>
      <c r="HQ11" s="12">
        <v>1.0831482416163732E-5</v>
      </c>
      <c r="HR11" s="6"/>
      <c r="HT11" s="21" t="b">
        <f t="shared" ref="HT11:HT18" si="15">+GK11=F11+W11+AN11+BE11</f>
        <v>1</v>
      </c>
      <c r="HU11" s="21" t="b">
        <f t="shared" ref="HU11:HU18" si="16">+GL11=G11+X11+AO11+BF11</f>
        <v>1</v>
      </c>
      <c r="HV11" s="21" t="b">
        <f t="shared" ref="HV11:HV18" si="17">+GM11=H11+Y11+AP11+BG11</f>
        <v>1</v>
      </c>
      <c r="HW11" s="21" t="b">
        <f t="shared" ref="HW11:HW18" si="18">+GN11=I11+Z11+AQ11+BH11</f>
        <v>1</v>
      </c>
      <c r="HX11" s="21" t="b">
        <f t="shared" ref="HX11:HX18" si="19">+GO11=J11+AA11+AR11+BI11</f>
        <v>1</v>
      </c>
      <c r="HY11" s="21" t="b">
        <f t="shared" ref="HY11:HY18" si="20">+GP11=K11+AB11+AS11+BJ11</f>
        <v>1</v>
      </c>
      <c r="HZ11" s="21" t="b">
        <f t="shared" ref="HZ11:HZ18" si="21">+GQ11=L11+AC11+AT11+BK11</f>
        <v>1</v>
      </c>
      <c r="IA11" s="21" t="b">
        <f t="shared" ref="IA11:IA18" si="22">+GR11=M11+AD11+AU11+BL11</f>
        <v>1</v>
      </c>
      <c r="IB11" s="21" t="b">
        <f t="shared" ref="IB11:IB18" si="23">+GS11=N11+AE11+AV11+BM11</f>
        <v>1</v>
      </c>
      <c r="IC11" s="21" t="b">
        <f t="shared" ref="IC11:IC18" si="24">+GT11=O11+AF11+AW11+BN11</f>
        <v>1</v>
      </c>
      <c r="ID11" s="21" t="b">
        <f t="shared" ref="ID11:ID18" si="25">+GU11=P11+AG11+AX11+BO11</f>
        <v>1</v>
      </c>
      <c r="IE11" s="21" t="b">
        <f t="shared" ref="IE11:IE18" si="26">+GV11=Q11+AH11+AY11+BP11</f>
        <v>1</v>
      </c>
      <c r="IF11" s="21" t="b">
        <f t="shared" ref="IF11:IF18" si="27">+GW11=R11+AI11+AZ11+BQ11</f>
        <v>1</v>
      </c>
      <c r="IG11" s="21" t="b">
        <f t="shared" ref="IG11:IG18" si="28">+GX11=S11+AJ11+BA11+BR11</f>
        <v>1</v>
      </c>
      <c r="IH11" s="21" t="b">
        <f t="shared" ref="IH11:IH18" si="29">+GY11=T11+AK11+BB11+BS11</f>
        <v>1</v>
      </c>
      <c r="II11" s="21" t="b">
        <f t="shared" ref="II11:II18" si="30">+GZ11=U11+AL11+BC11+BT11</f>
        <v>1</v>
      </c>
      <c r="IK11" s="21" t="b">
        <f t="shared" ref="IK11:IK18" si="31">+HB11=BV11+CM11+DD11+DU11+EL11</f>
        <v>1</v>
      </c>
      <c r="IL11" s="21" t="b">
        <f t="shared" ref="IL11:IL18" si="32">+HC11=BW11+CN11+DE11+DV11+EM11</f>
        <v>1</v>
      </c>
      <c r="IM11" s="21" t="b">
        <f t="shared" ref="IM11:IM18" si="33">+HD11=BX11+CO11+DF11+DW11+EN11</f>
        <v>1</v>
      </c>
      <c r="IN11" s="21" t="b">
        <f t="shared" ref="IN11:IN18" si="34">+HE11=BY11+CP11+DG11+DX11+EO11</f>
        <v>1</v>
      </c>
      <c r="IO11" s="21" t="b">
        <f t="shared" ref="IO11:IO18" si="35">+HF11=BZ11+CQ11+DH11+DY11+EP11</f>
        <v>1</v>
      </c>
      <c r="IP11" s="21" t="b">
        <f t="shared" ref="IP11:IP18" si="36">+HG11=CA11+CR11+DI11+DZ11+EQ11</f>
        <v>1</v>
      </c>
      <c r="IQ11" s="21" t="b">
        <f t="shared" ref="IQ11:IQ18" si="37">+HH11=CB11+CS11+DJ11+EA11+ER11</f>
        <v>1</v>
      </c>
      <c r="IR11" s="21" t="b">
        <f t="shared" ref="IR11:IR18" si="38">+HI11=CC11+CT11+DK11+EB11+ES11</f>
        <v>1</v>
      </c>
      <c r="IS11" s="21" t="b">
        <f t="shared" ref="IS11:IS18" si="39">+HJ11=CD11+CU11+DL11+EC11+ET11</f>
        <v>1</v>
      </c>
      <c r="IT11" s="21" t="b">
        <f t="shared" ref="IT11:IT18" si="40">+HK11=CE11+CV11+DM11+ED11+EU11</f>
        <v>1</v>
      </c>
      <c r="IU11" s="21" t="b">
        <f t="shared" ref="IU11:IU18" si="41">+HL11=CF11+CW11+DN11+EE11+EV11</f>
        <v>1</v>
      </c>
      <c r="IV11" s="21" t="b">
        <f t="shared" ref="IV11:IV18" si="42">+HM11=CG11+CX11+DO11+EF11+EW11</f>
        <v>1</v>
      </c>
      <c r="IW11" s="21" t="b">
        <f t="shared" ref="IW11:IW18" si="43">+HN11=CH11+CY11+DP11+EG11+EX11</f>
        <v>1</v>
      </c>
      <c r="IX11" s="21" t="b">
        <f t="shared" ref="IX11:IX18" si="44">+HO11=CI11+CZ11+DQ11+EH11+EY11</f>
        <v>1</v>
      </c>
      <c r="IY11" s="21" t="b">
        <f t="shared" ref="IY11:IY18" si="45">+HP11=CJ11+DA11+DR11+EI11+EZ11</f>
        <v>1</v>
      </c>
      <c r="IZ11" s="21" t="b">
        <f t="shared" ref="IZ11:IZ18" si="46">+HQ11=CK11+DB11+DS11+EJ11+FA11</f>
        <v>1</v>
      </c>
      <c r="JB11" s="21"/>
    </row>
    <row r="12" spans="2:262" x14ac:dyDescent="0.25">
      <c r="B12" s="24">
        <v>41639</v>
      </c>
      <c r="C12" s="25"/>
      <c r="D12" s="26"/>
      <c r="E12" s="10"/>
      <c r="F12" s="12">
        <v>4508.2202499837986</v>
      </c>
      <c r="G12" s="12">
        <v>1.506944444444445E-2</v>
      </c>
      <c r="H12" s="12">
        <v>25.014583333333331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32.000399999999999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51.620172990635687</v>
      </c>
      <c r="AO12" s="12">
        <v>215.53691632158913</v>
      </c>
      <c r="AP12" s="12">
        <v>8.5282512561575796</v>
      </c>
      <c r="AQ12" s="12">
        <v>167.88899240233206</v>
      </c>
      <c r="AR12" s="12">
        <v>69.794663539470648</v>
      </c>
      <c r="AS12" s="12">
        <v>101.10173061367345</v>
      </c>
      <c r="AT12" s="12">
        <v>8.0230643094045302</v>
      </c>
      <c r="AU12" s="12">
        <v>119.63222257938384</v>
      </c>
      <c r="AV12" s="12">
        <v>51.285581804712415</v>
      </c>
      <c r="AW12" s="12">
        <v>107.18888600386089</v>
      </c>
      <c r="AX12" s="12">
        <v>107.18888600386089</v>
      </c>
      <c r="AY12" s="12">
        <v>107.18888600386089</v>
      </c>
      <c r="AZ12" s="12">
        <v>107.18888600386089</v>
      </c>
      <c r="BA12" s="12">
        <v>107.18888600386089</v>
      </c>
      <c r="BB12" s="12">
        <v>13.86547677222952</v>
      </c>
      <c r="BC12" s="12">
        <v>0</v>
      </c>
      <c r="BD12" s="12"/>
      <c r="BE12" s="12">
        <v>1756.2209963066884</v>
      </c>
      <c r="BF12" s="12">
        <v>1852.5330397260363</v>
      </c>
      <c r="BG12" s="12">
        <v>1082.7158990413241</v>
      </c>
      <c r="BH12" s="12">
        <v>1109.1198986228969</v>
      </c>
      <c r="BI12" s="12">
        <v>1091.1449149109942</v>
      </c>
      <c r="BJ12" s="12">
        <v>1525.677630455089</v>
      </c>
      <c r="BK12" s="12">
        <v>990.93420431730624</v>
      </c>
      <c r="BL12" s="12">
        <v>667.14662251656773</v>
      </c>
      <c r="BM12" s="12">
        <v>587.59579669639356</v>
      </c>
      <c r="BN12" s="12">
        <v>173.99647255159562</v>
      </c>
      <c r="BO12" s="12">
        <v>173.99647255159562</v>
      </c>
      <c r="BP12" s="12">
        <v>173.99647255159562</v>
      </c>
      <c r="BQ12" s="12">
        <v>173.99647255159562</v>
      </c>
      <c r="BR12" s="12">
        <v>173.99647255159562</v>
      </c>
      <c r="BS12" s="12">
        <v>249.67473053790749</v>
      </c>
      <c r="BT12" s="12">
        <v>12.709193719547374</v>
      </c>
      <c r="BU12" s="12"/>
      <c r="BV12" s="12">
        <v>3807.9908646520171</v>
      </c>
      <c r="BW12" s="12">
        <v>426.47743587133328</v>
      </c>
      <c r="BX12" s="12">
        <v>175.17436467098264</v>
      </c>
      <c r="BY12" s="12">
        <v>451.73376046970196</v>
      </c>
      <c r="BZ12" s="12">
        <v>693.70759970532072</v>
      </c>
      <c r="CA12" s="12">
        <v>590.20091983641169</v>
      </c>
      <c r="CB12" s="12">
        <v>549.12649408468758</v>
      </c>
      <c r="CC12" s="12">
        <v>1833.4008265963316</v>
      </c>
      <c r="CD12" s="12">
        <v>1383.7647226926504</v>
      </c>
      <c r="CE12" s="12">
        <v>12.915472740882018</v>
      </c>
      <c r="CF12" s="12">
        <v>12.915472740882018</v>
      </c>
      <c r="CG12" s="12">
        <v>12.915472740882018</v>
      </c>
      <c r="CH12" s="12">
        <v>12.915472740882018</v>
      </c>
      <c r="CI12" s="12">
        <v>12.915472740882018</v>
      </c>
      <c r="CJ12" s="12">
        <v>1.0834448320439788E-5</v>
      </c>
      <c r="CK12" s="12">
        <v>1.0831482416163732E-5</v>
      </c>
      <c r="CL12" s="12"/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18.755966893724569</v>
      </c>
      <c r="DE12" s="12">
        <v>26.854145334107141</v>
      </c>
      <c r="DF12" s="12">
        <v>4.4568681741556633</v>
      </c>
      <c r="DG12" s="12">
        <v>2.5154656717609525</v>
      </c>
      <c r="DH12" s="12">
        <v>2.4218557889187196</v>
      </c>
      <c r="DI12" s="12">
        <v>0.55223843677274775</v>
      </c>
      <c r="DJ12" s="12">
        <v>0.55143546759731088</v>
      </c>
      <c r="DK12" s="12">
        <v>12.42532206078582</v>
      </c>
      <c r="DL12" s="12">
        <v>8.3209056592800259</v>
      </c>
      <c r="DM12" s="12">
        <v>1.8122763044521119E-2</v>
      </c>
      <c r="DN12" s="12">
        <v>1.8122763044521119E-2</v>
      </c>
      <c r="DO12" s="12">
        <v>1.8122763044521119E-2</v>
      </c>
      <c r="DP12" s="12">
        <v>1.8122763044521119E-2</v>
      </c>
      <c r="DQ12" s="12">
        <v>1.8122763044521119E-2</v>
      </c>
      <c r="DR12" s="12">
        <v>0</v>
      </c>
      <c r="DS12" s="12">
        <v>0</v>
      </c>
      <c r="DT12" s="12"/>
      <c r="DU12" s="12">
        <v>283.81000468133868</v>
      </c>
      <c r="DV12" s="12">
        <v>427.88043917560265</v>
      </c>
      <c r="DW12" s="12">
        <v>260.12638918189765</v>
      </c>
      <c r="DX12" s="12">
        <v>573.64181832696022</v>
      </c>
      <c r="DY12" s="12">
        <v>441.56893283024897</v>
      </c>
      <c r="DZ12" s="12">
        <v>221.06619655401514</v>
      </c>
      <c r="EA12" s="12">
        <v>472.77670105248262</v>
      </c>
      <c r="EB12" s="12">
        <v>122.22449251861056</v>
      </c>
      <c r="EC12" s="12">
        <v>81.471652986630289</v>
      </c>
      <c r="ED12" s="12">
        <v>41.209967427550481</v>
      </c>
      <c r="EE12" s="12">
        <v>41.209967427550481</v>
      </c>
      <c r="EF12" s="12">
        <v>41.209967427550481</v>
      </c>
      <c r="EG12" s="12">
        <v>41.209967427550481</v>
      </c>
      <c r="EH12" s="12">
        <v>41.209967427550481</v>
      </c>
      <c r="EI12" s="12">
        <v>3.243321236390742</v>
      </c>
      <c r="EJ12" s="12">
        <v>0</v>
      </c>
      <c r="EK12" s="12"/>
      <c r="EL12" s="12">
        <v>93.030468750000011</v>
      </c>
      <c r="EM12" s="12">
        <v>1.6444970642361112</v>
      </c>
      <c r="EN12" s="12">
        <v>47.086715381944451</v>
      </c>
      <c r="EO12" s="12">
        <v>46.035099645833334</v>
      </c>
      <c r="EP12" s="12">
        <v>96.247917480902771</v>
      </c>
      <c r="EQ12" s="12">
        <v>191.29439554687499</v>
      </c>
      <c r="ER12" s="12">
        <v>659.36118968576386</v>
      </c>
      <c r="ES12" s="12">
        <v>164.6566125347222</v>
      </c>
      <c r="ET12" s="12">
        <v>164.6566125347222</v>
      </c>
      <c r="EU12" s="12">
        <v>645.22160282083337</v>
      </c>
      <c r="EV12" s="12">
        <v>645.22160282083337</v>
      </c>
      <c r="EW12" s="12">
        <v>645.22160282083337</v>
      </c>
      <c r="EX12" s="12">
        <v>645.22160282083337</v>
      </c>
      <c r="EY12" s="12">
        <v>645.22160282083337</v>
      </c>
      <c r="EZ12" s="12">
        <v>0</v>
      </c>
      <c r="FA12" s="12">
        <v>0</v>
      </c>
      <c r="FB12" s="12"/>
      <c r="FC12" s="12">
        <v>178.20728760111345</v>
      </c>
      <c r="FD12" s="12">
        <v>142.67771696614807</v>
      </c>
      <c r="FE12" s="12">
        <v>522.62791519050188</v>
      </c>
      <c r="FF12" s="12">
        <v>126.4082563505728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4.8531668187127854</v>
      </c>
      <c r="FU12" s="12">
        <v>4.6972496356409037</v>
      </c>
      <c r="FV12" s="12">
        <v>146.79688871270437</v>
      </c>
      <c r="FW12" s="12">
        <v>7.0141079979222702</v>
      </c>
      <c r="FX12" s="12">
        <v>45.357388982279012</v>
      </c>
      <c r="FY12" s="12">
        <v>110.72499195306867</v>
      </c>
      <c r="FZ12" s="12">
        <v>165.10081272190695</v>
      </c>
      <c r="GA12" s="12">
        <v>69.414016337916678</v>
      </c>
      <c r="GB12" s="12">
        <v>23.39976644347222</v>
      </c>
      <c r="GC12" s="12">
        <v>86.009573652538904</v>
      </c>
      <c r="GD12" s="12">
        <v>86.009573652538904</v>
      </c>
      <c r="GE12" s="12">
        <v>86.009573652538904</v>
      </c>
      <c r="GF12" s="12">
        <v>86.009573652538904</v>
      </c>
      <c r="GG12" s="12">
        <v>86.009573652538904</v>
      </c>
      <c r="GH12" s="12">
        <v>0</v>
      </c>
      <c r="GI12" s="12">
        <v>0</v>
      </c>
      <c r="GJ12" s="12"/>
      <c r="GK12" s="12">
        <v>6348.0618192811235</v>
      </c>
      <c r="GL12" s="12">
        <v>2068.0850254920697</v>
      </c>
      <c r="GM12" s="12">
        <v>1116.258733630815</v>
      </c>
      <c r="GN12" s="12">
        <v>1277.0088910252289</v>
      </c>
      <c r="GO12" s="12">
        <v>1160.9395784504648</v>
      </c>
      <c r="GP12" s="12">
        <v>1626.7793610687625</v>
      </c>
      <c r="GQ12" s="12">
        <v>998.95726862671074</v>
      </c>
      <c r="GR12" s="12">
        <v>786.77884509595151</v>
      </c>
      <c r="GS12" s="12">
        <v>638.88137850110593</v>
      </c>
      <c r="GT12" s="12">
        <v>281.1853585554565</v>
      </c>
      <c r="GU12" s="12">
        <v>281.1853585554565</v>
      </c>
      <c r="GV12" s="12">
        <v>281.1853585554565</v>
      </c>
      <c r="GW12" s="12">
        <v>281.1853585554565</v>
      </c>
      <c r="GX12" s="12">
        <v>281.1853585554565</v>
      </c>
      <c r="GY12" s="12">
        <v>263.54020731013702</v>
      </c>
      <c r="GZ12" s="12">
        <v>12.709193719547374</v>
      </c>
      <c r="HB12" s="12">
        <v>4203.5873049770807</v>
      </c>
      <c r="HC12" s="12">
        <v>882.85651744527922</v>
      </c>
      <c r="HD12" s="12">
        <v>486.84433740898038</v>
      </c>
      <c r="HE12" s="12">
        <v>1073.9261441142564</v>
      </c>
      <c r="HF12" s="12">
        <v>1233.9463058053911</v>
      </c>
      <c r="HG12" s="12">
        <v>1003.1137503740746</v>
      </c>
      <c r="HH12" s="12">
        <v>1681.8158202905315</v>
      </c>
      <c r="HI12" s="12">
        <v>2132.7072537104505</v>
      </c>
      <c r="HJ12" s="12">
        <v>1638.2138938732828</v>
      </c>
      <c r="HK12" s="12">
        <v>699.36516575231042</v>
      </c>
      <c r="HL12" s="12">
        <v>699.36516575231042</v>
      </c>
      <c r="HM12" s="12">
        <v>699.36516575231042</v>
      </c>
      <c r="HN12" s="12">
        <v>699.36516575231042</v>
      </c>
      <c r="HO12" s="12">
        <v>699.36516575231042</v>
      </c>
      <c r="HP12" s="12">
        <v>3.2433320708390623</v>
      </c>
      <c r="HQ12" s="12">
        <v>1.0831482416163732E-5</v>
      </c>
      <c r="HR12" s="6"/>
      <c r="HT12" s="21" t="b">
        <f t="shared" si="15"/>
        <v>1</v>
      </c>
      <c r="HU12" s="21" t="b">
        <f t="shared" si="16"/>
        <v>1</v>
      </c>
      <c r="HV12" s="21" t="b">
        <f t="shared" si="17"/>
        <v>1</v>
      </c>
      <c r="HW12" s="21" t="b">
        <f t="shared" si="18"/>
        <v>1</v>
      </c>
      <c r="HX12" s="21" t="b">
        <f t="shared" si="19"/>
        <v>1</v>
      </c>
      <c r="HY12" s="21" t="b">
        <f t="shared" si="20"/>
        <v>1</v>
      </c>
      <c r="HZ12" s="21" t="b">
        <f t="shared" si="21"/>
        <v>1</v>
      </c>
      <c r="IA12" s="21" t="b">
        <f t="shared" si="22"/>
        <v>1</v>
      </c>
      <c r="IB12" s="21" t="b">
        <f t="shared" si="23"/>
        <v>1</v>
      </c>
      <c r="IC12" s="21" t="b">
        <f t="shared" si="24"/>
        <v>1</v>
      </c>
      <c r="ID12" s="21" t="b">
        <f t="shared" si="25"/>
        <v>1</v>
      </c>
      <c r="IE12" s="21" t="b">
        <f t="shared" si="26"/>
        <v>1</v>
      </c>
      <c r="IF12" s="21" t="b">
        <f t="shared" si="27"/>
        <v>1</v>
      </c>
      <c r="IG12" s="21" t="b">
        <f t="shared" si="28"/>
        <v>1</v>
      </c>
      <c r="IH12" s="21" t="b">
        <f t="shared" si="29"/>
        <v>1</v>
      </c>
      <c r="II12" s="21" t="b">
        <f t="shared" si="30"/>
        <v>1</v>
      </c>
      <c r="IK12" s="21" t="b">
        <f t="shared" si="31"/>
        <v>1</v>
      </c>
      <c r="IL12" s="21" t="b">
        <f t="shared" si="32"/>
        <v>1</v>
      </c>
      <c r="IM12" s="21" t="b">
        <f t="shared" si="33"/>
        <v>1</v>
      </c>
      <c r="IN12" s="21" t="b">
        <f t="shared" si="34"/>
        <v>1</v>
      </c>
      <c r="IO12" s="21" t="b">
        <f t="shared" si="35"/>
        <v>1</v>
      </c>
      <c r="IP12" s="21" t="b">
        <f t="shared" si="36"/>
        <v>1</v>
      </c>
      <c r="IQ12" s="21" t="b">
        <f t="shared" si="37"/>
        <v>1</v>
      </c>
      <c r="IR12" s="21" t="b">
        <f t="shared" si="38"/>
        <v>1</v>
      </c>
      <c r="IS12" s="21" t="b">
        <f t="shared" si="39"/>
        <v>1</v>
      </c>
      <c r="IT12" s="21" t="b">
        <f t="shared" si="40"/>
        <v>1</v>
      </c>
      <c r="IU12" s="21" t="b">
        <f t="shared" si="41"/>
        <v>1</v>
      </c>
      <c r="IV12" s="21" t="b">
        <f t="shared" si="42"/>
        <v>1</v>
      </c>
      <c r="IW12" s="21" t="b">
        <f t="shared" si="43"/>
        <v>1</v>
      </c>
      <c r="IX12" s="21" t="b">
        <f t="shared" si="44"/>
        <v>1</v>
      </c>
      <c r="IY12" s="21" t="b">
        <f t="shared" si="45"/>
        <v>1</v>
      </c>
      <c r="IZ12" s="21" t="b">
        <f t="shared" si="46"/>
        <v>1</v>
      </c>
      <c r="JB12" s="21"/>
    </row>
    <row r="13" spans="2:262" x14ac:dyDescent="0.25">
      <c r="B13" s="24">
        <v>41670</v>
      </c>
      <c r="C13" s="25"/>
      <c r="D13" s="26"/>
      <c r="E13" s="10"/>
      <c r="F13" s="12">
        <v>4044.5793926824699</v>
      </c>
      <c r="G13" s="12">
        <v>25.014583333333331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218.166631348804</v>
      </c>
      <c r="AO13" s="12">
        <v>340.06059487489455</v>
      </c>
      <c r="AP13" s="12">
        <v>78.100034779555585</v>
      </c>
      <c r="AQ13" s="12">
        <v>166.24681140812515</v>
      </c>
      <c r="AR13" s="12">
        <v>68.216265351359311</v>
      </c>
      <c r="AS13" s="12">
        <v>101.30341561280473</v>
      </c>
      <c r="AT13" s="12">
        <v>46.424235952229978</v>
      </c>
      <c r="AU13" s="12">
        <v>93.547204241409091</v>
      </c>
      <c r="AV13" s="12">
        <v>37.501399907124288</v>
      </c>
      <c r="AW13" s="12">
        <v>241.79432435470335</v>
      </c>
      <c r="AX13" s="12">
        <v>27.84099650768902</v>
      </c>
      <c r="AY13" s="12">
        <v>37.470324282424869</v>
      </c>
      <c r="AZ13" s="12">
        <v>101.92735274528169</v>
      </c>
      <c r="BA13" s="12">
        <v>129.36188668636348</v>
      </c>
      <c r="BB13" s="12">
        <v>14.498359277447541</v>
      </c>
      <c r="BC13" s="12">
        <v>0</v>
      </c>
      <c r="BD13" s="12"/>
      <c r="BE13" s="12">
        <v>1949.4715693773765</v>
      </c>
      <c r="BF13" s="12">
        <v>1931.8745477635891</v>
      </c>
      <c r="BG13" s="12">
        <v>905.73747364752342</v>
      </c>
      <c r="BH13" s="12">
        <v>1237.9101509852505</v>
      </c>
      <c r="BI13" s="12">
        <v>1039.1519924571198</v>
      </c>
      <c r="BJ13" s="12">
        <v>1553.2280576754476</v>
      </c>
      <c r="BK13" s="12">
        <v>973.68127018722328</v>
      </c>
      <c r="BL13" s="12">
        <v>672.97198385179672</v>
      </c>
      <c r="BM13" s="12">
        <v>573.94849606124444</v>
      </c>
      <c r="BN13" s="12">
        <v>336.1994162945</v>
      </c>
      <c r="BO13" s="12">
        <v>224.26238909482203</v>
      </c>
      <c r="BP13" s="12">
        <v>143.01415549010187</v>
      </c>
      <c r="BQ13" s="12">
        <v>87.480550579537564</v>
      </c>
      <c r="BR13" s="12">
        <v>68.545245364613052</v>
      </c>
      <c r="BS13" s="12">
        <v>246.46019878645032</v>
      </c>
      <c r="BT13" s="12">
        <v>12.232108859386658</v>
      </c>
      <c r="BU13" s="12"/>
      <c r="BV13" s="12">
        <v>3215.8272210287669</v>
      </c>
      <c r="BW13" s="12">
        <v>960.87947220620651</v>
      </c>
      <c r="BX13" s="12">
        <v>175.12172663527073</v>
      </c>
      <c r="BY13" s="12">
        <v>484.22382962164369</v>
      </c>
      <c r="BZ13" s="12">
        <v>706.36351817623256</v>
      </c>
      <c r="CA13" s="12">
        <v>586.08772867128573</v>
      </c>
      <c r="CB13" s="12">
        <v>546.13548961198887</v>
      </c>
      <c r="CC13" s="12">
        <v>1940.5716225811309</v>
      </c>
      <c r="CD13" s="12">
        <v>1453.181341375589</v>
      </c>
      <c r="CE13" s="12">
        <v>8.3417550221246833E-2</v>
      </c>
      <c r="CF13" s="12">
        <v>8.364609145472969E-2</v>
      </c>
      <c r="CG13" s="12">
        <v>8.3417550221246833E-2</v>
      </c>
      <c r="CH13" s="12">
        <v>8.3417550221246833E-2</v>
      </c>
      <c r="CI13" s="12">
        <v>64.371397166543161</v>
      </c>
      <c r="CJ13" s="12">
        <v>1.0629685990768441E-5</v>
      </c>
      <c r="CK13" s="12">
        <v>1.0626776139689666E-5</v>
      </c>
      <c r="CL13" s="12"/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29.826943273494372</v>
      </c>
      <c r="DE13" s="12">
        <v>2.6802652256026085</v>
      </c>
      <c r="DF13" s="12">
        <v>0.58667320021279756</v>
      </c>
      <c r="DG13" s="12">
        <v>3.5573952406589466</v>
      </c>
      <c r="DH13" s="12">
        <v>1.5446207353891968</v>
      </c>
      <c r="DI13" s="12">
        <v>0.53819841790989464</v>
      </c>
      <c r="DJ13" s="12">
        <v>0.53736740794148918</v>
      </c>
      <c r="DK13" s="12">
        <v>7.3826216980819703</v>
      </c>
      <c r="DL13" s="12">
        <v>5.02261692547299</v>
      </c>
      <c r="DM13" s="12">
        <v>1.4383971904377481E-4</v>
      </c>
      <c r="DN13" s="12">
        <v>1.4423380046581254E-4</v>
      </c>
      <c r="DO13" s="12">
        <v>1.4383971904377481E-4</v>
      </c>
      <c r="DP13" s="12">
        <v>1.4383971904377481E-4</v>
      </c>
      <c r="DQ13" s="12">
        <v>9.1136305191992784E-2</v>
      </c>
      <c r="DR13" s="12">
        <v>0</v>
      </c>
      <c r="DS13" s="12">
        <v>0</v>
      </c>
      <c r="DT13" s="12"/>
      <c r="DU13" s="12">
        <v>649.28067199954592</v>
      </c>
      <c r="DV13" s="12">
        <v>259.77383318556258</v>
      </c>
      <c r="DW13" s="12">
        <v>119.72223885653774</v>
      </c>
      <c r="DX13" s="12">
        <v>475.58502148841274</v>
      </c>
      <c r="DY13" s="12">
        <v>433.48985244253828</v>
      </c>
      <c r="DZ13" s="12">
        <v>227.72606171728398</v>
      </c>
      <c r="EA13" s="12">
        <v>464.83285909268022</v>
      </c>
      <c r="EB13" s="12">
        <v>116.64169201479589</v>
      </c>
      <c r="EC13" s="12">
        <v>81.43734987619564</v>
      </c>
      <c r="ED13" s="12">
        <v>52.944793241867352</v>
      </c>
      <c r="EE13" s="12">
        <v>52.928194817022835</v>
      </c>
      <c r="EF13" s="12">
        <v>52.877476602858245</v>
      </c>
      <c r="EG13" s="12">
        <v>22.020876978960676</v>
      </c>
      <c r="EH13" s="12">
        <v>20.707048148177076</v>
      </c>
      <c r="EI13" s="12">
        <v>3.0782993076702869</v>
      </c>
      <c r="EJ13" s="12">
        <v>0</v>
      </c>
      <c r="EK13" s="12"/>
      <c r="EL13" s="12">
        <v>1.6444970642361112</v>
      </c>
      <c r="EM13" s="12">
        <v>47.086715381944451</v>
      </c>
      <c r="EN13" s="12">
        <v>34.937128777777779</v>
      </c>
      <c r="EO13" s="12">
        <v>14.545744305555555</v>
      </c>
      <c r="EP13" s="12">
        <v>102.47811279340277</v>
      </c>
      <c r="EQ13" s="12">
        <v>203.71453443576391</v>
      </c>
      <c r="ER13" s="12">
        <v>671.52905426909717</v>
      </c>
      <c r="ES13" s="12">
        <v>177.07675142361111</v>
      </c>
      <c r="ET13" s="12">
        <v>177.07675142361111</v>
      </c>
      <c r="EU13" s="12">
        <v>427.07675142361109</v>
      </c>
      <c r="EV13" s="12">
        <v>952.78064320833323</v>
      </c>
      <c r="EW13" s="12">
        <v>584.88598753472229</v>
      </c>
      <c r="EX13" s="12">
        <v>773.16060906250004</v>
      </c>
      <c r="EY13" s="12">
        <v>731.69152287500003</v>
      </c>
      <c r="EZ13" s="12">
        <v>0</v>
      </c>
      <c r="FA13" s="12">
        <v>0</v>
      </c>
      <c r="FB13" s="12"/>
      <c r="FC13" s="12">
        <v>245.14142053580147</v>
      </c>
      <c r="FD13" s="12">
        <v>506.72475143708141</v>
      </c>
      <c r="FE13" s="12">
        <v>98.500852029914725</v>
      </c>
      <c r="FF13" s="12">
        <v>103.30844963258362</v>
      </c>
      <c r="FG13" s="12">
        <v>20.79215917891111</v>
      </c>
      <c r="FH13" s="12">
        <v>41.245315762513876</v>
      </c>
      <c r="FI13" s="12">
        <v>41.358316627616659</v>
      </c>
      <c r="FJ13" s="12">
        <v>41.245315762513876</v>
      </c>
      <c r="FK13" s="12">
        <v>41.245315762513876</v>
      </c>
      <c r="FL13" s="12">
        <v>41.245315762513876</v>
      </c>
      <c r="FM13" s="12">
        <v>914.66671173872771</v>
      </c>
      <c r="FN13" s="12">
        <v>20.452157984736107</v>
      </c>
      <c r="FO13" s="12">
        <v>20.452157984736107</v>
      </c>
      <c r="FP13" s="12">
        <v>721.11986462106108</v>
      </c>
      <c r="FQ13" s="12">
        <v>0</v>
      </c>
      <c r="FR13" s="12">
        <v>0</v>
      </c>
      <c r="FS13" s="12"/>
      <c r="FT13" s="12">
        <v>4.6963852879242358</v>
      </c>
      <c r="FU13" s="12">
        <v>957.10407431473743</v>
      </c>
      <c r="FV13" s="12">
        <v>721.55335757168154</v>
      </c>
      <c r="FW13" s="12">
        <v>14.918875255138731</v>
      </c>
      <c r="FX13" s="12">
        <v>31.297440280631641</v>
      </c>
      <c r="FY13" s="12">
        <v>103.03894137945939</v>
      </c>
      <c r="FZ13" s="12">
        <v>182.71630956371351</v>
      </c>
      <c r="GA13" s="12">
        <v>49.838018804583335</v>
      </c>
      <c r="GB13" s="12">
        <v>23.39976644347222</v>
      </c>
      <c r="GC13" s="12">
        <v>143.4130268043611</v>
      </c>
      <c r="GD13" s="12">
        <v>103.36878219444445</v>
      </c>
      <c r="GE13" s="12">
        <v>26.912385541666666</v>
      </c>
      <c r="GF13" s="12">
        <v>67.075013055555559</v>
      </c>
      <c r="GG13" s="12">
        <v>88.622823333333343</v>
      </c>
      <c r="GH13" s="12">
        <v>0</v>
      </c>
      <c r="GI13" s="12">
        <v>0</v>
      </c>
      <c r="GJ13" s="12"/>
      <c r="GK13" s="12">
        <v>6212.2175934086499</v>
      </c>
      <c r="GL13" s="12">
        <v>2296.9497259718169</v>
      </c>
      <c r="GM13" s="12">
        <v>983.837508427079</v>
      </c>
      <c r="GN13" s="12">
        <v>1404.1569623933756</v>
      </c>
      <c r="GO13" s="12">
        <v>1107.368257808479</v>
      </c>
      <c r="GP13" s="12">
        <v>1654.5314732882523</v>
      </c>
      <c r="GQ13" s="12">
        <v>1020.1055061394533</v>
      </c>
      <c r="GR13" s="12">
        <v>766.5191880932058</v>
      </c>
      <c r="GS13" s="12">
        <v>611.44989596836876</v>
      </c>
      <c r="GT13" s="12">
        <v>577.99374064920335</v>
      </c>
      <c r="GU13" s="12">
        <v>252.10338560251105</v>
      </c>
      <c r="GV13" s="12">
        <v>180.48447977252675</v>
      </c>
      <c r="GW13" s="12">
        <v>189.40790332481924</v>
      </c>
      <c r="GX13" s="12">
        <v>197.90713205097654</v>
      </c>
      <c r="GY13" s="12">
        <v>260.95855806389784</v>
      </c>
      <c r="GZ13" s="12">
        <v>12.232108859386658</v>
      </c>
      <c r="HB13" s="12">
        <v>3896.5793333660431</v>
      </c>
      <c r="HC13" s="12">
        <v>1270.4202859993161</v>
      </c>
      <c r="HD13" s="12">
        <v>330.36776746979905</v>
      </c>
      <c r="HE13" s="12">
        <v>977.91199065627086</v>
      </c>
      <c r="HF13" s="12">
        <v>1243.8761041475627</v>
      </c>
      <c r="HG13" s="12">
        <v>1018.0665232422435</v>
      </c>
      <c r="HH13" s="12">
        <v>1683.0347703817079</v>
      </c>
      <c r="HI13" s="12">
        <v>2241.6726877176202</v>
      </c>
      <c r="HJ13" s="12">
        <v>1716.7180596008686</v>
      </c>
      <c r="HK13" s="12">
        <v>480.10510605541873</v>
      </c>
      <c r="HL13" s="12">
        <v>1005.7926283506113</v>
      </c>
      <c r="HM13" s="12">
        <v>637.84702552752083</v>
      </c>
      <c r="HN13" s="12">
        <v>795.26504743140106</v>
      </c>
      <c r="HO13" s="12">
        <v>816.8611044949123</v>
      </c>
      <c r="HP13" s="12">
        <v>3.0783099373562779</v>
      </c>
      <c r="HQ13" s="12">
        <v>1.0626776139689666E-5</v>
      </c>
      <c r="HR13" s="6"/>
      <c r="HT13" s="21" t="b">
        <f t="shared" si="15"/>
        <v>1</v>
      </c>
      <c r="HU13" s="21" t="b">
        <f t="shared" si="16"/>
        <v>1</v>
      </c>
      <c r="HV13" s="21" t="b">
        <f t="shared" si="17"/>
        <v>1</v>
      </c>
      <c r="HW13" s="21" t="b">
        <f t="shared" si="18"/>
        <v>1</v>
      </c>
      <c r="HX13" s="21" t="b">
        <f t="shared" si="19"/>
        <v>1</v>
      </c>
      <c r="HY13" s="21" t="b">
        <f t="shared" si="20"/>
        <v>1</v>
      </c>
      <c r="HZ13" s="21" t="b">
        <f t="shared" si="21"/>
        <v>1</v>
      </c>
      <c r="IA13" s="21" t="b">
        <f t="shared" si="22"/>
        <v>1</v>
      </c>
      <c r="IB13" s="21" t="b">
        <f t="shared" si="23"/>
        <v>1</v>
      </c>
      <c r="IC13" s="21" t="b">
        <f t="shared" si="24"/>
        <v>1</v>
      </c>
      <c r="ID13" s="21" t="b">
        <f t="shared" si="25"/>
        <v>1</v>
      </c>
      <c r="IE13" s="21" t="b">
        <f t="shared" si="26"/>
        <v>1</v>
      </c>
      <c r="IF13" s="21" t="b">
        <f t="shared" si="27"/>
        <v>1</v>
      </c>
      <c r="IG13" s="21" t="b">
        <f t="shared" si="28"/>
        <v>1</v>
      </c>
      <c r="IH13" s="21" t="b">
        <f t="shared" si="29"/>
        <v>1</v>
      </c>
      <c r="II13" s="21" t="b">
        <f t="shared" si="30"/>
        <v>1</v>
      </c>
      <c r="IK13" s="21" t="b">
        <f t="shared" si="31"/>
        <v>1</v>
      </c>
      <c r="IL13" s="21" t="b">
        <f t="shared" si="32"/>
        <v>1</v>
      </c>
      <c r="IM13" s="21" t="b">
        <f t="shared" si="33"/>
        <v>1</v>
      </c>
      <c r="IN13" s="21" t="b">
        <f t="shared" si="34"/>
        <v>1</v>
      </c>
      <c r="IO13" s="21" t="b">
        <f t="shared" si="35"/>
        <v>1</v>
      </c>
      <c r="IP13" s="21" t="b">
        <f t="shared" si="36"/>
        <v>1</v>
      </c>
      <c r="IQ13" s="21" t="b">
        <f t="shared" si="37"/>
        <v>1</v>
      </c>
      <c r="IR13" s="21" t="b">
        <f t="shared" si="38"/>
        <v>1</v>
      </c>
      <c r="IS13" s="21" t="b">
        <f t="shared" si="39"/>
        <v>1</v>
      </c>
      <c r="IT13" s="21" t="b">
        <f t="shared" si="40"/>
        <v>1</v>
      </c>
      <c r="IU13" s="21" t="b">
        <f t="shared" si="41"/>
        <v>1</v>
      </c>
      <c r="IV13" s="21" t="b">
        <f t="shared" si="42"/>
        <v>1</v>
      </c>
      <c r="IW13" s="21" t="b">
        <f t="shared" si="43"/>
        <v>1</v>
      </c>
      <c r="IX13" s="21" t="b">
        <f t="shared" si="44"/>
        <v>1</v>
      </c>
      <c r="IY13" s="21" t="b">
        <f t="shared" si="45"/>
        <v>1</v>
      </c>
      <c r="IZ13" s="21" t="b">
        <f t="shared" si="46"/>
        <v>1</v>
      </c>
      <c r="JB13" s="21"/>
    </row>
    <row r="14" spans="2:262" x14ac:dyDescent="0.25">
      <c r="B14" s="24">
        <v>41698</v>
      </c>
      <c r="C14" s="25"/>
      <c r="D14" s="26"/>
      <c r="E14" s="10"/>
      <c r="F14" s="12">
        <v>4364.3615809285684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5.0000625000000003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342.47100031406239</v>
      </c>
      <c r="AO14" s="12">
        <v>97.577873758787064</v>
      </c>
      <c r="AP14" s="12">
        <v>196.27535140355516</v>
      </c>
      <c r="AQ14" s="12">
        <v>111.83767251029234</v>
      </c>
      <c r="AR14" s="12">
        <v>74.167712093953199</v>
      </c>
      <c r="AS14" s="12">
        <v>93.807264377534253</v>
      </c>
      <c r="AT14" s="12">
        <v>89.341687290821824</v>
      </c>
      <c r="AU14" s="12">
        <v>52.891109653061463</v>
      </c>
      <c r="AV14" s="12">
        <v>37.60519690463461</v>
      </c>
      <c r="AW14" s="12">
        <v>235.76897167539448</v>
      </c>
      <c r="AX14" s="12">
        <v>27.785870818952613</v>
      </c>
      <c r="AY14" s="12">
        <v>37.573619390777871</v>
      </c>
      <c r="AZ14" s="12">
        <v>112.82553557904095</v>
      </c>
      <c r="BA14" s="12">
        <v>120.03777838169775</v>
      </c>
      <c r="BB14" s="12">
        <v>14.452374266398296</v>
      </c>
      <c r="BC14" s="12">
        <v>0</v>
      </c>
      <c r="BD14" s="12"/>
      <c r="BE14" s="12">
        <v>2206.4472065275841</v>
      </c>
      <c r="BF14" s="12">
        <v>1656.0115445190581</v>
      </c>
      <c r="BG14" s="12">
        <v>937.35407126356165</v>
      </c>
      <c r="BH14" s="12">
        <v>1100.2280113614015</v>
      </c>
      <c r="BI14" s="12">
        <v>1018.8022049147706</v>
      </c>
      <c r="BJ14" s="12">
        <v>1491.0745666177975</v>
      </c>
      <c r="BK14" s="12">
        <v>976.19709770793827</v>
      </c>
      <c r="BL14" s="12">
        <v>670.12080825874455</v>
      </c>
      <c r="BM14" s="12">
        <v>560.43452038986891</v>
      </c>
      <c r="BN14" s="12">
        <v>326.50001028591589</v>
      </c>
      <c r="BO14" s="12">
        <v>217.60336759356696</v>
      </c>
      <c r="BP14" s="12">
        <v>222.48431028251449</v>
      </c>
      <c r="BQ14" s="12">
        <v>92.074268268138624</v>
      </c>
      <c r="BR14" s="12">
        <v>61.175148263023864</v>
      </c>
      <c r="BS14" s="12">
        <v>244.9603861526426</v>
      </c>
      <c r="BT14" s="12">
        <v>11.785622524315738</v>
      </c>
      <c r="BU14" s="12"/>
      <c r="BV14" s="12">
        <v>4081.6849194669203</v>
      </c>
      <c r="BW14" s="12">
        <v>601.19242742093559</v>
      </c>
      <c r="BX14" s="12">
        <v>164.83238988751918</v>
      </c>
      <c r="BY14" s="12">
        <v>523.29397725384104</v>
      </c>
      <c r="BZ14" s="12">
        <v>693.835303616999</v>
      </c>
      <c r="CA14" s="12">
        <v>585.19898419465721</v>
      </c>
      <c r="CB14" s="12">
        <v>546.85128956903634</v>
      </c>
      <c r="CC14" s="12">
        <v>1956.6093232610426</v>
      </c>
      <c r="CD14" s="12">
        <v>1463.9167237275437</v>
      </c>
      <c r="CE14" s="12">
        <v>7.7325149674680405E-2</v>
      </c>
      <c r="CF14" s="12">
        <v>9.0403884189388981E-2</v>
      </c>
      <c r="CG14" s="12">
        <v>8.3749791190677589E-2</v>
      </c>
      <c r="CH14" s="12">
        <v>8.3749791190677589E-2</v>
      </c>
      <c r="CI14" s="12">
        <v>64.893162108607072</v>
      </c>
      <c r="CJ14" s="12">
        <v>1.0523775752936995E-5</v>
      </c>
      <c r="CK14" s="12">
        <v>1.0360815900202029E-5</v>
      </c>
      <c r="CL14" s="12"/>
      <c r="CM14" s="12">
        <v>15.000125000000001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36.707866708563543</v>
      </c>
      <c r="DE14" s="12">
        <v>1.1688882432933319</v>
      </c>
      <c r="DF14" s="12">
        <v>4.0900821934698595</v>
      </c>
      <c r="DG14" s="12">
        <v>3.0139687129192567</v>
      </c>
      <c r="DH14" s="12">
        <v>3.6935678986572587</v>
      </c>
      <c r="DI14" s="12">
        <v>0.51338120079279181</v>
      </c>
      <c r="DJ14" s="12">
        <v>0.51525242700035223</v>
      </c>
      <c r="DK14" s="12">
        <v>26.753045303913208</v>
      </c>
      <c r="DL14" s="12">
        <v>17.712676725363348</v>
      </c>
      <c r="DM14" s="12">
        <v>1.3291973469240409E-4</v>
      </c>
      <c r="DN14" s="12">
        <v>1.554017076225733E-4</v>
      </c>
      <c r="DO14" s="12">
        <v>1.4396351086862756E-4</v>
      </c>
      <c r="DP14" s="12">
        <v>1.4396351086862756E-4</v>
      </c>
      <c r="DQ14" s="12">
        <v>8.5382826848738463E-2</v>
      </c>
      <c r="DR14" s="12">
        <v>0</v>
      </c>
      <c r="DS14" s="12">
        <v>0</v>
      </c>
      <c r="DT14" s="12"/>
      <c r="DU14" s="12">
        <v>474.6619532401312</v>
      </c>
      <c r="DV14" s="12">
        <v>119.59144778594887</v>
      </c>
      <c r="DW14" s="12">
        <v>134.4015564963365</v>
      </c>
      <c r="DX14" s="12">
        <v>849.4685099058463</v>
      </c>
      <c r="DY14" s="12">
        <v>598.94425695957659</v>
      </c>
      <c r="DZ14" s="12">
        <v>249.10997136246183</v>
      </c>
      <c r="EA14" s="12">
        <v>443.73817111486954</v>
      </c>
      <c r="EB14" s="12">
        <v>105.34786908925842</v>
      </c>
      <c r="EC14" s="12">
        <v>78.6793077398073</v>
      </c>
      <c r="ED14" s="12">
        <v>52.938430650244932</v>
      </c>
      <c r="EE14" s="12">
        <v>52.921504904618082</v>
      </c>
      <c r="EF14" s="12">
        <v>52.870442530794634</v>
      </c>
      <c r="EG14" s="12">
        <v>17.61378694431048</v>
      </c>
      <c r="EH14" s="12">
        <v>8.4965263206597701</v>
      </c>
      <c r="EI14" s="12">
        <v>2.9502782575017346</v>
      </c>
      <c r="EJ14" s="12">
        <v>0</v>
      </c>
      <c r="EK14" s="12"/>
      <c r="EL14" s="12">
        <v>47.086715381944451</v>
      </c>
      <c r="EM14" s="12">
        <v>37.965600999999999</v>
      </c>
      <c r="EN14" s="12">
        <v>13.96158406597222</v>
      </c>
      <c r="EO14" s="12">
        <v>2.2225211944444445</v>
      </c>
      <c r="EP14" s="12">
        <v>102.47811279340277</v>
      </c>
      <c r="EQ14" s="12">
        <v>253.15614848263888</v>
      </c>
      <c r="ER14" s="12">
        <v>620.44907926736118</v>
      </c>
      <c r="ES14" s="12">
        <v>177.07675142361111</v>
      </c>
      <c r="ET14" s="12">
        <v>177.07675142361111</v>
      </c>
      <c r="EU14" s="12">
        <v>427.07675142361109</v>
      </c>
      <c r="EV14" s="12">
        <v>952.78064320833323</v>
      </c>
      <c r="EW14" s="12">
        <v>584.88598753472218</v>
      </c>
      <c r="EX14" s="12">
        <v>773.16060906250004</v>
      </c>
      <c r="EY14" s="12">
        <v>731.69152287500003</v>
      </c>
      <c r="EZ14" s="12">
        <v>0</v>
      </c>
      <c r="FA14" s="12">
        <v>0</v>
      </c>
      <c r="FB14" s="12"/>
      <c r="FC14" s="12">
        <v>635.1828407439466</v>
      </c>
      <c r="FD14" s="12">
        <v>98.501485311025831</v>
      </c>
      <c r="FE14" s="12">
        <v>201.42819332282818</v>
      </c>
      <c r="FF14" s="12">
        <v>114.55873827452805</v>
      </c>
      <c r="FG14" s="12">
        <v>20.79215917891111</v>
      </c>
      <c r="FH14" s="12">
        <v>41.245315762513876</v>
      </c>
      <c r="FI14" s="12">
        <v>41.358316627616659</v>
      </c>
      <c r="FJ14" s="12">
        <v>41.245315762513876</v>
      </c>
      <c r="FK14" s="12">
        <v>41.245315762513876</v>
      </c>
      <c r="FL14" s="12">
        <v>41.245315762513876</v>
      </c>
      <c r="FM14" s="12">
        <v>914.66671173872771</v>
      </c>
      <c r="FN14" s="12">
        <v>20.452157984736107</v>
      </c>
      <c r="FO14" s="12">
        <v>20.452157984736107</v>
      </c>
      <c r="FP14" s="12">
        <v>721.11986462106108</v>
      </c>
      <c r="FQ14" s="12">
        <v>0</v>
      </c>
      <c r="FR14" s="12">
        <v>0</v>
      </c>
      <c r="FS14" s="12"/>
      <c r="FT14" s="12">
        <v>957.10311495652718</v>
      </c>
      <c r="FU14" s="12">
        <v>721.55326063227938</v>
      </c>
      <c r="FV14" s="12">
        <v>5.1582945373291222</v>
      </c>
      <c r="FW14" s="12">
        <v>14.750509476441119</v>
      </c>
      <c r="FX14" s="12">
        <v>31.602517036287644</v>
      </c>
      <c r="FY14" s="12">
        <v>100.78217428358802</v>
      </c>
      <c r="FZ14" s="12">
        <v>205.51199545085291</v>
      </c>
      <c r="GA14" s="12">
        <v>26.042468110138884</v>
      </c>
      <c r="GB14" s="12">
        <v>23.886128943472222</v>
      </c>
      <c r="GC14" s="12">
        <v>173.47965180436111</v>
      </c>
      <c r="GD14" s="12">
        <v>103.36878219444445</v>
      </c>
      <c r="GE14" s="12">
        <v>26.912385541666666</v>
      </c>
      <c r="GF14" s="12">
        <v>75.071030833333339</v>
      </c>
      <c r="GG14" s="12">
        <v>80.535214444444449</v>
      </c>
      <c r="GH14" s="12">
        <v>0</v>
      </c>
      <c r="GI14" s="12">
        <v>0</v>
      </c>
      <c r="GJ14" s="12"/>
      <c r="GK14" s="12">
        <v>6918.2798502702153</v>
      </c>
      <c r="GL14" s="12">
        <v>1753.5894182778452</v>
      </c>
      <c r="GM14" s="12">
        <v>1133.6294226671168</v>
      </c>
      <c r="GN14" s="12">
        <v>1212.0656838716939</v>
      </c>
      <c r="GO14" s="12">
        <v>1092.9699170087238</v>
      </c>
      <c r="GP14" s="12">
        <v>1584.8818309953317</v>
      </c>
      <c r="GQ14" s="12">
        <v>1065.5387849987601</v>
      </c>
      <c r="GR14" s="12">
        <v>723.01191791180599</v>
      </c>
      <c r="GS14" s="12">
        <v>598.03971729450348</v>
      </c>
      <c r="GT14" s="12">
        <v>562.26898196131037</v>
      </c>
      <c r="GU14" s="12">
        <v>245.38923841251957</v>
      </c>
      <c r="GV14" s="12">
        <v>260.05792967329234</v>
      </c>
      <c r="GW14" s="12">
        <v>204.89980384717956</v>
      </c>
      <c r="GX14" s="12">
        <v>181.21292664472162</v>
      </c>
      <c r="GY14" s="12">
        <v>259.41276041904092</v>
      </c>
      <c r="GZ14" s="12">
        <v>11.785622524315738</v>
      </c>
      <c r="HB14" s="12">
        <v>4655.1415797975587</v>
      </c>
      <c r="HC14" s="12">
        <v>759.91836445017771</v>
      </c>
      <c r="HD14" s="12">
        <v>317.28561264329772</v>
      </c>
      <c r="HE14" s="12">
        <v>1377.9989770670511</v>
      </c>
      <c r="HF14" s="12">
        <v>1398.9512412686356</v>
      </c>
      <c r="HG14" s="12">
        <v>1087.9784852405508</v>
      </c>
      <c r="HH14" s="12">
        <v>1611.5537923782674</v>
      </c>
      <c r="HI14" s="12">
        <v>2265.7869890778256</v>
      </c>
      <c r="HJ14" s="12">
        <v>1737.3854596163253</v>
      </c>
      <c r="HK14" s="12">
        <v>480.09264014326538</v>
      </c>
      <c r="HL14" s="12">
        <v>1005.7927073988483</v>
      </c>
      <c r="HM14" s="12">
        <v>637.84032382021837</v>
      </c>
      <c r="HN14" s="12">
        <v>790.85828976151208</v>
      </c>
      <c r="HO14" s="12">
        <v>805.16659413111563</v>
      </c>
      <c r="HP14" s="12">
        <v>2.9502887812774876</v>
      </c>
      <c r="HQ14" s="12">
        <v>1.0360815900202029E-5</v>
      </c>
      <c r="HR14" s="6"/>
      <c r="HT14" s="21" t="b">
        <f t="shared" si="15"/>
        <v>1</v>
      </c>
      <c r="HU14" s="21" t="b">
        <f t="shared" si="16"/>
        <v>1</v>
      </c>
      <c r="HV14" s="21" t="b">
        <f t="shared" si="17"/>
        <v>1</v>
      </c>
      <c r="HW14" s="21" t="b">
        <f t="shared" si="18"/>
        <v>1</v>
      </c>
      <c r="HX14" s="21" t="b">
        <f t="shared" si="19"/>
        <v>1</v>
      </c>
      <c r="HY14" s="21" t="b">
        <f t="shared" si="20"/>
        <v>1</v>
      </c>
      <c r="HZ14" s="21" t="b">
        <f t="shared" si="21"/>
        <v>1</v>
      </c>
      <c r="IA14" s="21" t="b">
        <f t="shared" si="22"/>
        <v>1</v>
      </c>
      <c r="IB14" s="21" t="b">
        <f t="shared" si="23"/>
        <v>1</v>
      </c>
      <c r="IC14" s="21" t="b">
        <f t="shared" si="24"/>
        <v>1</v>
      </c>
      <c r="ID14" s="21" t="b">
        <f t="shared" si="25"/>
        <v>1</v>
      </c>
      <c r="IE14" s="21" t="b">
        <f t="shared" si="26"/>
        <v>1</v>
      </c>
      <c r="IF14" s="21" t="b">
        <f t="shared" si="27"/>
        <v>1</v>
      </c>
      <c r="IG14" s="21" t="b">
        <f t="shared" si="28"/>
        <v>1</v>
      </c>
      <c r="IH14" s="21" t="b">
        <f t="shared" si="29"/>
        <v>1</v>
      </c>
      <c r="II14" s="21" t="b">
        <f t="shared" si="30"/>
        <v>1</v>
      </c>
      <c r="IK14" s="21" t="b">
        <f t="shared" si="31"/>
        <v>1</v>
      </c>
      <c r="IL14" s="21" t="b">
        <f t="shared" si="32"/>
        <v>1</v>
      </c>
      <c r="IM14" s="21" t="b">
        <f t="shared" si="33"/>
        <v>1</v>
      </c>
      <c r="IN14" s="21" t="b">
        <f t="shared" si="34"/>
        <v>1</v>
      </c>
      <c r="IO14" s="21" t="b">
        <f t="shared" si="35"/>
        <v>1</v>
      </c>
      <c r="IP14" s="21" t="b">
        <f t="shared" si="36"/>
        <v>1</v>
      </c>
      <c r="IQ14" s="21" t="b">
        <f t="shared" si="37"/>
        <v>1</v>
      </c>
      <c r="IR14" s="21" t="b">
        <f t="shared" si="38"/>
        <v>1</v>
      </c>
      <c r="IS14" s="21" t="b">
        <f t="shared" si="39"/>
        <v>1</v>
      </c>
      <c r="IT14" s="21" t="b">
        <f t="shared" si="40"/>
        <v>1</v>
      </c>
      <c r="IU14" s="21" t="b">
        <f t="shared" si="41"/>
        <v>1</v>
      </c>
      <c r="IV14" s="21" t="b">
        <f t="shared" si="42"/>
        <v>1</v>
      </c>
      <c r="IW14" s="21" t="b">
        <f t="shared" si="43"/>
        <v>1</v>
      </c>
      <c r="IX14" s="21" t="b">
        <f t="shared" si="44"/>
        <v>1</v>
      </c>
      <c r="IY14" s="21" t="b">
        <f t="shared" si="45"/>
        <v>1</v>
      </c>
      <c r="IZ14" s="21" t="b">
        <f t="shared" si="46"/>
        <v>1</v>
      </c>
      <c r="JB14" s="21"/>
    </row>
    <row r="15" spans="2:262" x14ac:dyDescent="0.25">
      <c r="B15" s="24">
        <v>41729</v>
      </c>
      <c r="C15" s="25"/>
      <c r="D15" s="26"/>
      <c r="E15" s="10"/>
      <c r="F15" s="12">
        <v>4933.518087774858</v>
      </c>
      <c r="G15" s="12">
        <v>25.015347222222225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0</v>
      </c>
      <c r="X15" s="12">
        <v>0</v>
      </c>
      <c r="Y15" s="12">
        <v>15.0375</v>
      </c>
      <c r="Z15" s="12">
        <v>15.049583333333334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99.988274662508644</v>
      </c>
      <c r="AO15" s="12">
        <v>519.89528840366245</v>
      </c>
      <c r="AP15" s="12">
        <v>98.596838786346723</v>
      </c>
      <c r="AQ15" s="12">
        <v>18.818801469252442</v>
      </c>
      <c r="AR15" s="12">
        <v>74.057433069463684</v>
      </c>
      <c r="AS15" s="12">
        <v>93.975438535422384</v>
      </c>
      <c r="AT15" s="12">
        <v>87.627000291313919</v>
      </c>
      <c r="AU15" s="12">
        <v>49.775549956697461</v>
      </c>
      <c r="AV15" s="12">
        <v>166.83015832523532</v>
      </c>
      <c r="AW15" s="12">
        <v>92.889148405077492</v>
      </c>
      <c r="AX15" s="12">
        <v>29.049988326369313</v>
      </c>
      <c r="AY15" s="12">
        <v>73.227164234189203</v>
      </c>
      <c r="AZ15" s="12">
        <v>92.337970895077291</v>
      </c>
      <c r="BA15" s="12">
        <v>113.32109314367625</v>
      </c>
      <c r="BB15" s="12">
        <v>14.404626053368879</v>
      </c>
      <c r="BC15" s="12">
        <v>0</v>
      </c>
      <c r="BD15" s="12"/>
      <c r="BE15" s="12">
        <v>1819.1971933153225</v>
      </c>
      <c r="BF15" s="12">
        <v>1526.5667164794288</v>
      </c>
      <c r="BG15" s="12">
        <v>1061.6120908094824</v>
      </c>
      <c r="BH15" s="12">
        <v>1097.6339434956521</v>
      </c>
      <c r="BI15" s="12">
        <v>1013.2093354832861</v>
      </c>
      <c r="BJ15" s="12">
        <v>1549.1447361032469</v>
      </c>
      <c r="BK15" s="12">
        <v>974.15116658555939</v>
      </c>
      <c r="BL15" s="12">
        <v>685.6159084169135</v>
      </c>
      <c r="BM15" s="12">
        <v>584.14257971657275</v>
      </c>
      <c r="BN15" s="12">
        <v>323.85349374069085</v>
      </c>
      <c r="BO15" s="12">
        <v>192.93177032649817</v>
      </c>
      <c r="BP15" s="12">
        <v>221.1121057447686</v>
      </c>
      <c r="BQ15" s="12">
        <v>100.16708998261062</v>
      </c>
      <c r="BR15" s="12">
        <v>60.321890334632883</v>
      </c>
      <c r="BS15" s="12">
        <v>266.55679181324689</v>
      </c>
      <c r="BT15" s="12">
        <v>11.46444738405304</v>
      </c>
      <c r="BU15" s="12"/>
      <c r="BV15" s="12">
        <v>3281.7765610908214</v>
      </c>
      <c r="BW15" s="12">
        <v>986.55829355190986</v>
      </c>
      <c r="BX15" s="12">
        <v>423.24082631357516</v>
      </c>
      <c r="BY15" s="12">
        <v>586.43984689366187</v>
      </c>
      <c r="BZ15" s="12">
        <v>684.31058914362404</v>
      </c>
      <c r="CA15" s="12">
        <v>591.03275728885876</v>
      </c>
      <c r="CB15" s="12">
        <v>552.1118814726957</v>
      </c>
      <c r="CC15" s="12">
        <v>1930.6293355558601</v>
      </c>
      <c r="CD15" s="12">
        <v>1448.8271984807402</v>
      </c>
      <c r="CE15" s="12">
        <v>8.606777145431288E-2</v>
      </c>
      <c r="CF15" s="12">
        <v>8.5832613608809297E-2</v>
      </c>
      <c r="CG15" s="12">
        <v>8.5832613608809297E-2</v>
      </c>
      <c r="CH15" s="12">
        <v>8.5832613608809297E-2</v>
      </c>
      <c r="CI15" s="12">
        <v>66.293585233341545</v>
      </c>
      <c r="CJ15" s="12">
        <v>1.0282522627597855E-5</v>
      </c>
      <c r="CK15" s="12">
        <v>1.0285338214297633E-5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29.53809818890975</v>
      </c>
      <c r="DE15" s="12">
        <v>29.696126426893759</v>
      </c>
      <c r="DF15" s="12">
        <v>6.829266082780916</v>
      </c>
      <c r="DG15" s="12">
        <v>26.771867773752163</v>
      </c>
      <c r="DH15" s="12">
        <v>19.490336898333659</v>
      </c>
      <c r="DI15" s="12">
        <v>0.71709601640521581</v>
      </c>
      <c r="DJ15" s="12">
        <v>0.71576107341887496</v>
      </c>
      <c r="DK15" s="12">
        <v>12.339166465945631</v>
      </c>
      <c r="DL15" s="12">
        <v>8.3198924471364251</v>
      </c>
      <c r="DM15" s="12">
        <v>2.1104828434815006E-4</v>
      </c>
      <c r="DN15" s="12">
        <v>2.1047164969146119E-4</v>
      </c>
      <c r="DO15" s="12">
        <v>2.1047164969146119E-4</v>
      </c>
      <c r="DP15" s="12">
        <v>2.1047164969146119E-4</v>
      </c>
      <c r="DQ15" s="12">
        <v>0.11751451789105402</v>
      </c>
      <c r="DR15" s="12">
        <v>0</v>
      </c>
      <c r="DS15" s="12">
        <v>0</v>
      </c>
      <c r="DT15" s="12"/>
      <c r="DU15" s="12">
        <v>327.82997968215147</v>
      </c>
      <c r="DV15" s="12">
        <v>134.63096856193985</v>
      </c>
      <c r="DW15" s="12">
        <v>318.43281874050706</v>
      </c>
      <c r="DX15" s="12">
        <v>668.04476837833602</v>
      </c>
      <c r="DY15" s="12">
        <v>628.83635276376572</v>
      </c>
      <c r="DZ15" s="12">
        <v>358.27902581735958</v>
      </c>
      <c r="EA15" s="12">
        <v>336.34031329862393</v>
      </c>
      <c r="EB15" s="12">
        <v>88.243469332858851</v>
      </c>
      <c r="EC15" s="12">
        <v>78.677719266083088</v>
      </c>
      <c r="ED15" s="12">
        <v>52.967424978290943</v>
      </c>
      <c r="EE15" s="12">
        <v>52.918724942855953</v>
      </c>
      <c r="EF15" s="12">
        <v>52.884569608722181</v>
      </c>
      <c r="EG15" s="12">
        <v>13.214602246976565</v>
      </c>
      <c r="EH15" s="12">
        <v>86.675221617696565</v>
      </c>
      <c r="EI15" s="12">
        <v>2.7359721160487225</v>
      </c>
      <c r="EJ15" s="12">
        <v>0</v>
      </c>
      <c r="EK15" s="12"/>
      <c r="EL15" s="12">
        <v>37.965601000000007</v>
      </c>
      <c r="EM15" s="12">
        <v>13.961584065972222</v>
      </c>
      <c r="EN15" s="12">
        <v>0.28869791666666661</v>
      </c>
      <c r="EO15" s="12">
        <v>49.803124470222222</v>
      </c>
      <c r="EP15" s="12">
        <v>101.69661404415278</v>
      </c>
      <c r="EQ15" s="12">
        <v>634.41848586241667</v>
      </c>
      <c r="ER15" s="12">
        <v>230.1791987452778</v>
      </c>
      <c r="ES15" s="12">
        <v>177.07783848486113</v>
      </c>
      <c r="ET15" s="12">
        <v>177.07783848486113</v>
      </c>
      <c r="EU15" s="12">
        <v>427.28821160200005</v>
      </c>
      <c r="EV15" s="12">
        <v>930.95191568625</v>
      </c>
      <c r="EW15" s="12">
        <v>568.44458003827776</v>
      </c>
      <c r="EX15" s="12">
        <v>773.16060906250004</v>
      </c>
      <c r="EY15" s="12">
        <v>731.69152287500003</v>
      </c>
      <c r="EZ15" s="12">
        <v>0</v>
      </c>
      <c r="FA15" s="12">
        <v>0</v>
      </c>
      <c r="FB15" s="12"/>
      <c r="FC15" s="12">
        <v>192.93684052535122</v>
      </c>
      <c r="FD15" s="12">
        <v>201.42868972464251</v>
      </c>
      <c r="FE15" s="12">
        <v>162.61823804243807</v>
      </c>
      <c r="FF15" s="12">
        <v>341.30407366766917</v>
      </c>
      <c r="FG15" s="12">
        <v>23.391520290022221</v>
      </c>
      <c r="FH15" s="12">
        <v>46.501482429180541</v>
      </c>
      <c r="FI15" s="12">
        <v>46.600122183172211</v>
      </c>
      <c r="FJ15" s="12">
        <v>46.487121318069427</v>
      </c>
      <c r="FK15" s="12">
        <v>46.487121318069427</v>
      </c>
      <c r="FL15" s="12">
        <v>46.501482429180541</v>
      </c>
      <c r="FM15" s="12">
        <v>919.90851729428334</v>
      </c>
      <c r="FN15" s="12">
        <v>25.693963540291662</v>
      </c>
      <c r="FO15" s="12">
        <v>220.95479687362501</v>
      </c>
      <c r="FP15" s="12">
        <v>721.11986462106108</v>
      </c>
      <c r="FQ15" s="12">
        <v>0</v>
      </c>
      <c r="FR15" s="12">
        <v>0</v>
      </c>
      <c r="FS15" s="12"/>
      <c r="FT15" s="12">
        <v>921.55279804389943</v>
      </c>
      <c r="FU15" s="12">
        <v>5.1582945373291222</v>
      </c>
      <c r="FV15" s="12">
        <v>4.9718790850695713</v>
      </c>
      <c r="FW15" s="12">
        <v>815.92057506392769</v>
      </c>
      <c r="FX15" s="12">
        <v>31.620521990812094</v>
      </c>
      <c r="FY15" s="12">
        <v>98.300702768304816</v>
      </c>
      <c r="FZ15" s="12">
        <v>202.96439451961112</v>
      </c>
      <c r="GA15" s="12">
        <v>26.042468110138884</v>
      </c>
      <c r="GB15" s="12">
        <v>129.07596436013887</v>
      </c>
      <c r="GC15" s="12">
        <v>68.295962179361112</v>
      </c>
      <c r="GD15" s="12">
        <v>103.2093495138889</v>
      </c>
      <c r="GE15" s="12">
        <v>51.767217888888887</v>
      </c>
      <c r="GF15" s="12">
        <v>57.428182777777778</v>
      </c>
      <c r="GG15" s="12">
        <v>72.364128750000006</v>
      </c>
      <c r="GH15" s="12">
        <v>0</v>
      </c>
      <c r="GI15" s="12">
        <v>0</v>
      </c>
      <c r="GJ15" s="12"/>
      <c r="GK15" s="12">
        <v>6852.7035557526897</v>
      </c>
      <c r="GL15" s="12">
        <v>2071.4773521053135</v>
      </c>
      <c r="GM15" s="12">
        <v>1175.2464295958291</v>
      </c>
      <c r="GN15" s="12">
        <v>1131.5023282982379</v>
      </c>
      <c r="GO15" s="12">
        <v>1087.2667685527497</v>
      </c>
      <c r="GP15" s="12">
        <v>1643.1201746386694</v>
      </c>
      <c r="GQ15" s="12">
        <v>1061.7781668768732</v>
      </c>
      <c r="GR15" s="12">
        <v>735.39145837361093</v>
      </c>
      <c r="GS15" s="12">
        <v>750.97273804180804</v>
      </c>
      <c r="GT15" s="12">
        <v>416.74264214576834</v>
      </c>
      <c r="GU15" s="12">
        <v>221.98175865286748</v>
      </c>
      <c r="GV15" s="12">
        <v>294.33926997895782</v>
      </c>
      <c r="GW15" s="12">
        <v>192.50506087768792</v>
      </c>
      <c r="GX15" s="12">
        <v>173.64298347830913</v>
      </c>
      <c r="GY15" s="12">
        <v>280.96141786661576</v>
      </c>
      <c r="GZ15" s="12">
        <v>11.46444738405304</v>
      </c>
      <c r="HB15" s="12">
        <v>3677.1102399618826</v>
      </c>
      <c r="HC15" s="12">
        <v>1164.8469726067156</v>
      </c>
      <c r="HD15" s="12">
        <v>748.79160905352978</v>
      </c>
      <c r="HE15" s="12">
        <v>1331.0596075159722</v>
      </c>
      <c r="HF15" s="12">
        <v>1434.3338928498761</v>
      </c>
      <c r="HG15" s="12">
        <v>1584.4473649850402</v>
      </c>
      <c r="HH15" s="12">
        <v>1119.3471545900163</v>
      </c>
      <c r="HI15" s="12">
        <v>2208.2898098395258</v>
      </c>
      <c r="HJ15" s="12">
        <v>1712.9026486788209</v>
      </c>
      <c r="HK15" s="12">
        <v>480.34191540002962</v>
      </c>
      <c r="HL15" s="12">
        <v>983.95668371436443</v>
      </c>
      <c r="HM15" s="12">
        <v>621.41519273225845</v>
      </c>
      <c r="HN15" s="12">
        <v>786.46125439473508</v>
      </c>
      <c r="HO15" s="12">
        <v>884.77784424392917</v>
      </c>
      <c r="HP15" s="12">
        <v>2.7359823985713501</v>
      </c>
      <c r="HQ15" s="12">
        <v>1.0285338214297633E-5</v>
      </c>
      <c r="HR15" s="6"/>
      <c r="HT15" s="21" t="b">
        <f t="shared" si="15"/>
        <v>1</v>
      </c>
      <c r="HU15" s="21" t="b">
        <f t="shared" si="16"/>
        <v>1</v>
      </c>
      <c r="HV15" s="21" t="b">
        <f t="shared" si="17"/>
        <v>1</v>
      </c>
      <c r="HW15" s="21" t="b">
        <f t="shared" si="18"/>
        <v>1</v>
      </c>
      <c r="HX15" s="21" t="b">
        <f t="shared" si="19"/>
        <v>1</v>
      </c>
      <c r="HY15" s="21" t="b">
        <f t="shared" si="20"/>
        <v>1</v>
      </c>
      <c r="HZ15" s="21" t="b">
        <f t="shared" si="21"/>
        <v>1</v>
      </c>
      <c r="IA15" s="21" t="b">
        <f t="shared" si="22"/>
        <v>1</v>
      </c>
      <c r="IB15" s="21" t="b">
        <f t="shared" si="23"/>
        <v>1</v>
      </c>
      <c r="IC15" s="21" t="b">
        <f t="shared" si="24"/>
        <v>1</v>
      </c>
      <c r="ID15" s="21" t="b">
        <f t="shared" si="25"/>
        <v>1</v>
      </c>
      <c r="IE15" s="21" t="b">
        <f t="shared" si="26"/>
        <v>1</v>
      </c>
      <c r="IF15" s="21" t="b">
        <f t="shared" si="27"/>
        <v>1</v>
      </c>
      <c r="IG15" s="21" t="b">
        <f t="shared" si="28"/>
        <v>1</v>
      </c>
      <c r="IH15" s="21" t="b">
        <f t="shared" si="29"/>
        <v>1</v>
      </c>
      <c r="II15" s="21" t="b">
        <f t="shared" si="30"/>
        <v>1</v>
      </c>
      <c r="IK15" s="21" t="b">
        <f t="shared" si="31"/>
        <v>1</v>
      </c>
      <c r="IL15" s="21" t="b">
        <f t="shared" si="32"/>
        <v>1</v>
      </c>
      <c r="IM15" s="21" t="b">
        <f t="shared" si="33"/>
        <v>1</v>
      </c>
      <c r="IN15" s="21" t="b">
        <f t="shared" si="34"/>
        <v>1</v>
      </c>
      <c r="IO15" s="21" t="b">
        <f t="shared" si="35"/>
        <v>1</v>
      </c>
      <c r="IP15" s="21" t="b">
        <f t="shared" si="36"/>
        <v>1</v>
      </c>
      <c r="IQ15" s="21" t="b">
        <f t="shared" si="37"/>
        <v>1</v>
      </c>
      <c r="IR15" s="21" t="b">
        <f t="shared" si="38"/>
        <v>1</v>
      </c>
      <c r="IS15" s="21" t="b">
        <f t="shared" si="39"/>
        <v>1</v>
      </c>
      <c r="IT15" s="21" t="b">
        <f t="shared" si="40"/>
        <v>1</v>
      </c>
      <c r="IU15" s="21" t="b">
        <f t="shared" si="41"/>
        <v>1</v>
      </c>
      <c r="IV15" s="21" t="b">
        <f t="shared" si="42"/>
        <v>1</v>
      </c>
      <c r="IW15" s="21" t="b">
        <f t="shared" si="43"/>
        <v>1</v>
      </c>
      <c r="IX15" s="21" t="b">
        <f t="shared" si="44"/>
        <v>1</v>
      </c>
      <c r="IY15" s="21" t="b">
        <f t="shared" si="45"/>
        <v>1</v>
      </c>
      <c r="IZ15" s="21" t="b">
        <f t="shared" si="46"/>
        <v>1</v>
      </c>
      <c r="JB15" s="21"/>
    </row>
    <row r="16" spans="2:262" x14ac:dyDescent="0.25">
      <c r="B16" s="24">
        <v>41759</v>
      </c>
      <c r="C16" s="25"/>
      <c r="D16" s="26"/>
      <c r="E16" s="10"/>
      <c r="F16" s="12">
        <v>4365.7437756905629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15.0375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522.30569081919953</v>
      </c>
      <c r="AO16" s="12">
        <v>98.596721822559658</v>
      </c>
      <c r="AP16" s="12">
        <v>44.398547015654565</v>
      </c>
      <c r="AQ16" s="12">
        <v>82.997263599054591</v>
      </c>
      <c r="AR16" s="12">
        <v>12.85786615778783</v>
      </c>
      <c r="AS16" s="12">
        <v>85.623361471756027</v>
      </c>
      <c r="AT16" s="12">
        <v>109.68538658484661</v>
      </c>
      <c r="AU16" s="12">
        <v>66.952931733809379</v>
      </c>
      <c r="AV16" s="12">
        <v>126.94949110217942</v>
      </c>
      <c r="AW16" s="12">
        <v>92.3569744845461</v>
      </c>
      <c r="AX16" s="12">
        <v>29.171075177688088</v>
      </c>
      <c r="AY16" s="12">
        <v>73.627199691543169</v>
      </c>
      <c r="AZ16" s="12">
        <v>101.64200759521</v>
      </c>
      <c r="BA16" s="12">
        <v>108.13173023391259</v>
      </c>
      <c r="BB16" s="12">
        <v>12.24353945422145</v>
      </c>
      <c r="BC16" s="12">
        <v>0</v>
      </c>
      <c r="BD16" s="12"/>
      <c r="BE16" s="12">
        <v>1798.5207120999758</v>
      </c>
      <c r="BF16" s="12">
        <v>1798.6085904115284</v>
      </c>
      <c r="BG16" s="12">
        <v>1055.6315560244038</v>
      </c>
      <c r="BH16" s="12">
        <v>1046.4161134671961</v>
      </c>
      <c r="BI16" s="12">
        <v>1046.2944139599983</v>
      </c>
      <c r="BJ16" s="12">
        <v>1495.4221927048836</v>
      </c>
      <c r="BK16" s="12">
        <v>984.27154895081264</v>
      </c>
      <c r="BL16" s="12">
        <v>695.08348189188519</v>
      </c>
      <c r="BM16" s="12">
        <v>592.23963634992231</v>
      </c>
      <c r="BN16" s="12">
        <v>337.87844366939305</v>
      </c>
      <c r="BO16" s="12">
        <v>210.20991888368104</v>
      </c>
      <c r="BP16" s="12">
        <v>238.10682616787849</v>
      </c>
      <c r="BQ16" s="12">
        <v>140.70503991641732</v>
      </c>
      <c r="BR16" s="12">
        <v>73.122867938063777</v>
      </c>
      <c r="BS16" s="12">
        <v>266.49011506712202</v>
      </c>
      <c r="BT16" s="12">
        <v>11.122157706909245</v>
      </c>
      <c r="BU16" s="12"/>
      <c r="BV16" s="12">
        <v>3439.6800690198061</v>
      </c>
      <c r="BW16" s="12">
        <v>793.28332312993825</v>
      </c>
      <c r="BX16" s="12">
        <v>273.31078124987948</v>
      </c>
      <c r="BY16" s="12">
        <v>551.08123211927568</v>
      </c>
      <c r="BZ16" s="12">
        <v>695.38492700690188</v>
      </c>
      <c r="CA16" s="12">
        <v>613.78466768437238</v>
      </c>
      <c r="CB16" s="12">
        <v>575.05333873344932</v>
      </c>
      <c r="CC16" s="12">
        <v>1954.1402106942771</v>
      </c>
      <c r="CD16" s="12">
        <v>1471.9270004534603</v>
      </c>
      <c r="CE16" s="12">
        <v>9.540117901242115E-2</v>
      </c>
      <c r="CF16" s="12">
        <v>9.5140520053370828E-2</v>
      </c>
      <c r="CG16" s="12">
        <v>9.5140520053370828E-2</v>
      </c>
      <c r="CH16" s="12">
        <v>9.5140520053370828E-2</v>
      </c>
      <c r="CI16" s="12">
        <v>70.581822246300646</v>
      </c>
      <c r="CJ16" s="12">
        <v>1.0129493340301569E-5</v>
      </c>
      <c r="CK16" s="12">
        <v>1.0132267024129694E-5</v>
      </c>
      <c r="CL16" s="12"/>
      <c r="CM16" s="12">
        <v>55.000305555555549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68.614929924985489</v>
      </c>
      <c r="DE16" s="12">
        <v>2.5627039980471973</v>
      </c>
      <c r="DF16" s="12">
        <v>0.43914241768703344</v>
      </c>
      <c r="DG16" s="12">
        <v>5.7427434994053428</v>
      </c>
      <c r="DH16" s="12">
        <v>8.7601719453176639</v>
      </c>
      <c r="DI16" s="12">
        <v>0.58107514788285297</v>
      </c>
      <c r="DJ16" s="12">
        <v>0.58010436477597671</v>
      </c>
      <c r="DK16" s="12">
        <v>65.2967658136685</v>
      </c>
      <c r="DL16" s="12">
        <v>43.085077911817095</v>
      </c>
      <c r="DM16" s="12">
        <v>1.5152423096851064E-4</v>
      </c>
      <c r="DN16" s="12">
        <v>1.5111023033744907E-4</v>
      </c>
      <c r="DO16" s="12">
        <v>1.5111023033744907E-4</v>
      </c>
      <c r="DP16" s="12">
        <v>1.5111023033744907E-4</v>
      </c>
      <c r="DQ16" s="12">
        <v>9.4957204824217809E-2</v>
      </c>
      <c r="DR16" s="12">
        <v>0</v>
      </c>
      <c r="DS16" s="12">
        <v>0</v>
      </c>
      <c r="DT16" s="12"/>
      <c r="DU16" s="12">
        <v>334.78335549188182</v>
      </c>
      <c r="DV16" s="12">
        <v>318.34487951267027</v>
      </c>
      <c r="DW16" s="12">
        <v>33.782023929999816</v>
      </c>
      <c r="DX16" s="12">
        <v>961.49579450044394</v>
      </c>
      <c r="DY16" s="12">
        <v>571.18289810210456</v>
      </c>
      <c r="DZ16" s="12">
        <v>359.20095423819072</v>
      </c>
      <c r="EA16" s="12">
        <v>335.35311524454306</v>
      </c>
      <c r="EB16" s="12">
        <v>77.129631942784002</v>
      </c>
      <c r="EC16" s="12">
        <v>78.621990758361164</v>
      </c>
      <c r="ED16" s="12">
        <v>52.961008967097179</v>
      </c>
      <c r="EE16" s="12">
        <v>52.911978862733044</v>
      </c>
      <c r="EF16" s="12">
        <v>52.877476479416359</v>
      </c>
      <c r="EG16" s="12">
        <v>8.808719247743916</v>
      </c>
      <c r="EH16" s="12">
        <v>86.481365756819514</v>
      </c>
      <c r="EI16" s="12">
        <v>2.5657802354456942</v>
      </c>
      <c r="EJ16" s="12">
        <v>0</v>
      </c>
      <c r="EK16" s="12"/>
      <c r="EL16" s="12">
        <v>13.961584065972222</v>
      </c>
      <c r="EM16" s="12">
        <v>0.28869791666666672</v>
      </c>
      <c r="EN16" s="12">
        <v>0.28319010416666668</v>
      </c>
      <c r="EO16" s="12">
        <v>87.698274638888876</v>
      </c>
      <c r="EP16" s="12">
        <v>101.48278771006945</v>
      </c>
      <c r="EQ16" s="12">
        <v>649.62757111458336</v>
      </c>
      <c r="ER16" s="12">
        <v>214.68785826736109</v>
      </c>
      <c r="ES16" s="12">
        <v>177.07675142361111</v>
      </c>
      <c r="ET16" s="12">
        <v>177.07675142361111</v>
      </c>
      <c r="EU16" s="12">
        <v>427.49418487500009</v>
      </c>
      <c r="EV16" s="12">
        <v>930.74376531250005</v>
      </c>
      <c r="EW16" s="12">
        <v>1288.4284368402778</v>
      </c>
      <c r="EX16" s="12">
        <v>747.16660906250002</v>
      </c>
      <c r="EY16" s="12">
        <v>0</v>
      </c>
      <c r="EZ16" s="12">
        <v>0</v>
      </c>
      <c r="FA16" s="12">
        <v>0</v>
      </c>
      <c r="FB16" s="12"/>
      <c r="FC16" s="12">
        <v>291.82261452753835</v>
      </c>
      <c r="FD16" s="12">
        <v>162.61852701371598</v>
      </c>
      <c r="FE16" s="12">
        <v>92.207475571769166</v>
      </c>
      <c r="FF16" s="12">
        <v>347.59757979555275</v>
      </c>
      <c r="FG16" s="12">
        <v>23.391520290022221</v>
      </c>
      <c r="FH16" s="12">
        <v>46.501482429180541</v>
      </c>
      <c r="FI16" s="12">
        <v>46.600122183172211</v>
      </c>
      <c r="FJ16" s="12">
        <v>46.487121318069427</v>
      </c>
      <c r="FK16" s="12">
        <v>46.487121318069427</v>
      </c>
      <c r="FL16" s="12">
        <v>46.501482429180541</v>
      </c>
      <c r="FM16" s="12">
        <v>919.90851729428334</v>
      </c>
      <c r="FN16" s="12">
        <v>226.19660242918056</v>
      </c>
      <c r="FO16" s="12">
        <v>741.57202260579732</v>
      </c>
      <c r="FP16" s="12">
        <v>0</v>
      </c>
      <c r="FQ16" s="12">
        <v>0</v>
      </c>
      <c r="FR16" s="12">
        <v>0</v>
      </c>
      <c r="FS16" s="12"/>
      <c r="FT16" s="12">
        <v>5.1574003581427892</v>
      </c>
      <c r="FU16" s="12">
        <v>4.973043651736238</v>
      </c>
      <c r="FV16" s="12">
        <v>204.93291946960665</v>
      </c>
      <c r="FW16" s="12">
        <v>1532.6307855808666</v>
      </c>
      <c r="FX16" s="12">
        <v>31.656364163221902</v>
      </c>
      <c r="FY16" s="12">
        <v>93.970081962527118</v>
      </c>
      <c r="FZ16" s="12">
        <v>217.99815856569444</v>
      </c>
      <c r="GA16" s="12">
        <v>27.023791026805551</v>
      </c>
      <c r="GB16" s="12">
        <v>112.7891190823611</v>
      </c>
      <c r="GC16" s="12">
        <v>68.104169427638894</v>
      </c>
      <c r="GD16" s="12">
        <v>102.92671284722222</v>
      </c>
      <c r="GE16" s="12">
        <v>51.651572055555555</v>
      </c>
      <c r="GF16" s="12">
        <v>61.300403611111115</v>
      </c>
      <c r="GG16" s="12">
        <v>68.324240416666669</v>
      </c>
      <c r="GH16" s="12">
        <v>0</v>
      </c>
      <c r="GI16" s="12">
        <v>0</v>
      </c>
      <c r="GJ16" s="12"/>
      <c r="GK16" s="12">
        <v>6686.5701786097379</v>
      </c>
      <c r="GL16" s="12">
        <v>1912.242812234088</v>
      </c>
      <c r="GM16" s="12">
        <v>1100.0301030400583</v>
      </c>
      <c r="GN16" s="12">
        <v>1129.4133770662506</v>
      </c>
      <c r="GO16" s="12">
        <v>1059.1522801177862</v>
      </c>
      <c r="GP16" s="12">
        <v>1581.0455541766396</v>
      </c>
      <c r="GQ16" s="12">
        <v>1093.9569355356593</v>
      </c>
      <c r="GR16" s="12">
        <v>762.03641362569454</v>
      </c>
      <c r="GS16" s="12">
        <v>719.18912745210173</v>
      </c>
      <c r="GT16" s="12">
        <v>430.23541815393912</v>
      </c>
      <c r="GU16" s="12">
        <v>239.38099406136914</v>
      </c>
      <c r="GV16" s="12">
        <v>311.73402585942165</v>
      </c>
      <c r="GW16" s="12">
        <v>242.34704751162732</v>
      </c>
      <c r="GX16" s="12">
        <v>181.25459817197637</v>
      </c>
      <c r="GY16" s="12">
        <v>278.73365452134345</v>
      </c>
      <c r="GZ16" s="12">
        <v>11.122157706909245</v>
      </c>
      <c r="HB16" s="12">
        <v>3912.0402440582016</v>
      </c>
      <c r="HC16" s="12">
        <v>1114.4796045573223</v>
      </c>
      <c r="HD16" s="12">
        <v>307.81513770173302</v>
      </c>
      <c r="HE16" s="12">
        <v>1606.018044758014</v>
      </c>
      <c r="HF16" s="12">
        <v>1376.8107847643935</v>
      </c>
      <c r="HG16" s="12">
        <v>1623.1942681850294</v>
      </c>
      <c r="HH16" s="12">
        <v>1125.6744166101294</v>
      </c>
      <c r="HI16" s="12">
        <v>2273.6433598743411</v>
      </c>
      <c r="HJ16" s="12">
        <v>1770.7108205472496</v>
      </c>
      <c r="HK16" s="12">
        <v>480.55074654534064</v>
      </c>
      <c r="HL16" s="12">
        <v>983.75103580551684</v>
      </c>
      <c r="HM16" s="12">
        <v>1341.4012049499779</v>
      </c>
      <c r="HN16" s="12">
        <v>756.07061994052765</v>
      </c>
      <c r="HO16" s="12">
        <v>157.15814520794436</v>
      </c>
      <c r="HP16" s="12">
        <v>2.5657903649390343</v>
      </c>
      <c r="HQ16" s="12">
        <v>1.0132267024129694E-5</v>
      </c>
      <c r="HR16" s="6"/>
      <c r="HT16" s="21" t="b">
        <f t="shared" si="15"/>
        <v>1</v>
      </c>
      <c r="HU16" s="21" t="b">
        <f t="shared" si="16"/>
        <v>1</v>
      </c>
      <c r="HV16" s="21" t="b">
        <f t="shared" si="17"/>
        <v>1</v>
      </c>
      <c r="HW16" s="21" t="b">
        <f t="shared" si="18"/>
        <v>1</v>
      </c>
      <c r="HX16" s="21" t="b">
        <f t="shared" si="19"/>
        <v>1</v>
      </c>
      <c r="HY16" s="21" t="b">
        <f t="shared" si="20"/>
        <v>1</v>
      </c>
      <c r="HZ16" s="21" t="b">
        <f t="shared" si="21"/>
        <v>1</v>
      </c>
      <c r="IA16" s="21" t="b">
        <f t="shared" si="22"/>
        <v>1</v>
      </c>
      <c r="IB16" s="21" t="b">
        <f t="shared" si="23"/>
        <v>1</v>
      </c>
      <c r="IC16" s="21" t="b">
        <f t="shared" si="24"/>
        <v>1</v>
      </c>
      <c r="ID16" s="21" t="b">
        <f t="shared" si="25"/>
        <v>1</v>
      </c>
      <c r="IE16" s="21" t="b">
        <f t="shared" si="26"/>
        <v>1</v>
      </c>
      <c r="IF16" s="21" t="b">
        <f t="shared" si="27"/>
        <v>1</v>
      </c>
      <c r="IG16" s="21" t="b">
        <f t="shared" si="28"/>
        <v>1</v>
      </c>
      <c r="IH16" s="21" t="b">
        <f t="shared" si="29"/>
        <v>1</v>
      </c>
      <c r="II16" s="21" t="b">
        <f t="shared" si="30"/>
        <v>1</v>
      </c>
      <c r="IK16" s="21" t="b">
        <f t="shared" si="31"/>
        <v>1</v>
      </c>
      <c r="IL16" s="21" t="b">
        <f t="shared" si="32"/>
        <v>1</v>
      </c>
      <c r="IM16" s="21" t="b">
        <f t="shared" si="33"/>
        <v>1</v>
      </c>
      <c r="IN16" s="21" t="b">
        <f t="shared" si="34"/>
        <v>1</v>
      </c>
      <c r="IO16" s="21" t="b">
        <f t="shared" si="35"/>
        <v>1</v>
      </c>
      <c r="IP16" s="21" t="b">
        <f t="shared" si="36"/>
        <v>1</v>
      </c>
      <c r="IQ16" s="21" t="b">
        <f t="shared" si="37"/>
        <v>1</v>
      </c>
      <c r="IR16" s="21" t="b">
        <f t="shared" si="38"/>
        <v>1</v>
      </c>
      <c r="IS16" s="21" t="b">
        <f t="shared" si="39"/>
        <v>1</v>
      </c>
      <c r="IT16" s="21" t="b">
        <f t="shared" si="40"/>
        <v>1</v>
      </c>
      <c r="IU16" s="21" t="b">
        <f t="shared" si="41"/>
        <v>1</v>
      </c>
      <c r="IV16" s="21" t="b">
        <f t="shared" si="42"/>
        <v>1</v>
      </c>
      <c r="IW16" s="21" t="b">
        <f t="shared" si="43"/>
        <v>1</v>
      </c>
      <c r="IX16" s="21" t="b">
        <f t="shared" si="44"/>
        <v>1</v>
      </c>
      <c r="IY16" s="21" t="b">
        <f t="shared" si="45"/>
        <v>1</v>
      </c>
      <c r="IZ16" s="21" t="b">
        <f t="shared" si="46"/>
        <v>1</v>
      </c>
      <c r="JB16" s="21"/>
    </row>
    <row r="17" spans="1:262" x14ac:dyDescent="0.25">
      <c r="B17" s="24">
        <v>41790</v>
      </c>
      <c r="C17" s="25"/>
      <c r="D17" s="26"/>
      <c r="E17" s="10"/>
      <c r="F17" s="12">
        <v>4626.7023864968696</v>
      </c>
      <c r="G17" s="12">
        <v>6.2499999999999995E-3</v>
      </c>
      <c r="H17" s="12">
        <v>10.007083333333334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0</v>
      </c>
      <c r="X17" s="12">
        <v>15.023999999999999</v>
      </c>
      <c r="Y17" s="12">
        <v>15.050625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101.00712272580112</v>
      </c>
      <c r="AO17" s="12">
        <v>98.141882012031886</v>
      </c>
      <c r="AP17" s="12">
        <v>143.21091204460976</v>
      </c>
      <c r="AQ17" s="12">
        <v>137.31043786952276</v>
      </c>
      <c r="AR17" s="12">
        <v>11.284299968221037</v>
      </c>
      <c r="AS17" s="12">
        <v>83.943663999167498</v>
      </c>
      <c r="AT17" s="12">
        <v>109.61153866108658</v>
      </c>
      <c r="AU17" s="12">
        <v>67.126496085345025</v>
      </c>
      <c r="AV17" s="12">
        <v>124.63315063217881</v>
      </c>
      <c r="AW17" s="12">
        <v>96.815991986743384</v>
      </c>
      <c r="AX17" s="12">
        <v>35.104642088611222</v>
      </c>
      <c r="AY17" s="12">
        <v>74.224256022375897</v>
      </c>
      <c r="AZ17" s="12">
        <v>148.96357067586541</v>
      </c>
      <c r="BA17" s="12">
        <v>46.907979539633416</v>
      </c>
      <c r="BB17" s="12">
        <v>10.137876869405009</v>
      </c>
      <c r="BC17" s="12">
        <v>0</v>
      </c>
      <c r="BD17" s="12"/>
      <c r="BE17" s="12">
        <v>1902.3978689171793</v>
      </c>
      <c r="BF17" s="12">
        <v>1702.7530760118168</v>
      </c>
      <c r="BG17" s="12">
        <v>876.96453029672034</v>
      </c>
      <c r="BH17" s="12">
        <v>1235.0503857625979</v>
      </c>
      <c r="BI17" s="12">
        <v>1129.4866247626978</v>
      </c>
      <c r="BJ17" s="12">
        <v>1500.6299821703242</v>
      </c>
      <c r="BK17" s="12">
        <v>1032.2102235672896</v>
      </c>
      <c r="BL17" s="12">
        <v>692.11892459152693</v>
      </c>
      <c r="BM17" s="12">
        <v>592.99187008791068</v>
      </c>
      <c r="BN17" s="12">
        <v>343.00404380351159</v>
      </c>
      <c r="BO17" s="12">
        <v>207.41221149552786</v>
      </c>
      <c r="BP17" s="12">
        <v>164.02160252616744</v>
      </c>
      <c r="BQ17" s="12">
        <v>145.38298498137812</v>
      </c>
      <c r="BR17" s="12">
        <v>107.10379278474184</v>
      </c>
      <c r="BS17" s="12">
        <v>246.19119299400069</v>
      </c>
      <c r="BT17" s="12">
        <v>10.700944656983392</v>
      </c>
      <c r="BU17" s="12"/>
      <c r="BV17" s="12">
        <v>3622.5709618352839</v>
      </c>
      <c r="BW17" s="12">
        <v>616.25078154016762</v>
      </c>
      <c r="BX17" s="12">
        <v>246.25061566466258</v>
      </c>
      <c r="BY17" s="12">
        <v>522.75588663235999</v>
      </c>
      <c r="BZ17" s="12">
        <v>697.30241435684923</v>
      </c>
      <c r="CA17" s="12">
        <v>628.51295045053723</v>
      </c>
      <c r="CB17" s="12">
        <v>586.98742659560378</v>
      </c>
      <c r="CC17" s="12">
        <v>1947.6125179652574</v>
      </c>
      <c r="CD17" s="12">
        <v>1471.0666103794608</v>
      </c>
      <c r="CE17" s="12">
        <v>9.4979044188891498E-2</v>
      </c>
      <c r="CF17" s="12">
        <v>9.4719538603675935E-2</v>
      </c>
      <c r="CG17" s="12">
        <v>9.4719538603675935E-2</v>
      </c>
      <c r="CH17" s="12">
        <v>9.4719538603675935E-2</v>
      </c>
      <c r="CI17" s="12">
        <v>70.374530338668222</v>
      </c>
      <c r="CJ17" s="12">
        <v>1.0978744123096936E-5</v>
      </c>
      <c r="CK17" s="12">
        <v>1.0981750350951014E-5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27.277237109521888</v>
      </c>
      <c r="DE17" s="12">
        <v>5.415193425592002</v>
      </c>
      <c r="DF17" s="12">
        <v>4.9397955331806207</v>
      </c>
      <c r="DG17" s="12">
        <v>5.5635656654496657</v>
      </c>
      <c r="DH17" s="12">
        <v>7.3522891369866405</v>
      </c>
      <c r="DI17" s="12">
        <v>0.83009026837524769</v>
      </c>
      <c r="DJ17" s="12">
        <v>0.82862817881340989</v>
      </c>
      <c r="DK17" s="12">
        <v>18.867855555974035</v>
      </c>
      <c r="DL17" s="12">
        <v>12.642959316078983</v>
      </c>
      <c r="DM17" s="12">
        <v>2.3607515100237966E-4</v>
      </c>
      <c r="DN17" s="12">
        <v>2.3543013692860269E-4</v>
      </c>
      <c r="DO17" s="12">
        <v>2.3543013692860269E-4</v>
      </c>
      <c r="DP17" s="12">
        <v>2.3543013692860269E-4</v>
      </c>
      <c r="DQ17" s="12">
        <v>0.1382084661577053</v>
      </c>
      <c r="DR17" s="12">
        <v>0</v>
      </c>
      <c r="DS17" s="12">
        <v>0</v>
      </c>
      <c r="DT17" s="12"/>
      <c r="DU17" s="12">
        <v>510.40258231962025</v>
      </c>
      <c r="DV17" s="12">
        <v>33.449866880954012</v>
      </c>
      <c r="DW17" s="12">
        <v>502.33367088566638</v>
      </c>
      <c r="DX17" s="12">
        <v>580.80912946511023</v>
      </c>
      <c r="DY17" s="12">
        <v>542.15569032175517</v>
      </c>
      <c r="DZ17" s="12">
        <v>389.44510866710101</v>
      </c>
      <c r="EA17" s="12">
        <v>332.42555883089494</v>
      </c>
      <c r="EB17" s="12">
        <v>72.269632492755704</v>
      </c>
      <c r="EC17" s="12">
        <v>78.568198967868398</v>
      </c>
      <c r="ED17" s="12">
        <v>52.961008967097172</v>
      </c>
      <c r="EE17" s="12">
        <v>52.911978862733044</v>
      </c>
      <c r="EF17" s="12">
        <v>52.877476479416337</v>
      </c>
      <c r="EG17" s="12">
        <v>4.404665829687735</v>
      </c>
      <c r="EH17" s="12">
        <v>86.177630230505642</v>
      </c>
      <c r="EI17" s="12">
        <v>2.3542264805085109</v>
      </c>
      <c r="EJ17" s="12">
        <v>0</v>
      </c>
      <c r="EK17" s="12"/>
      <c r="EL17" s="12">
        <v>0.28869791666666667</v>
      </c>
      <c r="EM17" s="12">
        <v>0.28319010416666668</v>
      </c>
      <c r="EN17" s="12">
        <v>1.6506331736111113</v>
      </c>
      <c r="EO17" s="12">
        <v>100.262301748</v>
      </c>
      <c r="EP17" s="12">
        <v>101.23079855456945</v>
      </c>
      <c r="EQ17" s="12">
        <v>682.46824648741676</v>
      </c>
      <c r="ER17" s="12">
        <v>180.14298426263889</v>
      </c>
      <c r="ES17" s="12">
        <v>177.0778384848611</v>
      </c>
      <c r="ET17" s="12">
        <v>177.0778384848611</v>
      </c>
      <c r="EU17" s="12">
        <v>415.24006658116667</v>
      </c>
      <c r="EV17" s="12">
        <v>930.74485237374995</v>
      </c>
      <c r="EW17" s="12">
        <v>1288.4445800382775</v>
      </c>
      <c r="EX17" s="12">
        <v>747.16660906250002</v>
      </c>
      <c r="EY17" s="12">
        <v>0</v>
      </c>
      <c r="EZ17" s="12">
        <v>0</v>
      </c>
      <c r="FA17" s="12">
        <v>0</v>
      </c>
      <c r="FB17" s="12"/>
      <c r="FC17" s="12">
        <v>248.95408623074269</v>
      </c>
      <c r="FD17" s="12">
        <v>92.207935776213617</v>
      </c>
      <c r="FE17" s="12">
        <v>212.57330074259551</v>
      </c>
      <c r="FF17" s="12">
        <v>336.34784679785838</v>
      </c>
      <c r="FG17" s="12">
        <v>23.391520290022221</v>
      </c>
      <c r="FH17" s="12">
        <v>46.501482429180541</v>
      </c>
      <c r="FI17" s="12">
        <v>46.600122183172211</v>
      </c>
      <c r="FJ17" s="12">
        <v>46.487121318069427</v>
      </c>
      <c r="FK17" s="12">
        <v>46.487121318069427</v>
      </c>
      <c r="FL17" s="12">
        <v>46.501482429180541</v>
      </c>
      <c r="FM17" s="12">
        <v>919.90851729428334</v>
      </c>
      <c r="FN17" s="12">
        <v>226.19660242918056</v>
      </c>
      <c r="FO17" s="12">
        <v>741.57202260579732</v>
      </c>
      <c r="FP17" s="12">
        <v>0</v>
      </c>
      <c r="FQ17" s="12">
        <v>0</v>
      </c>
      <c r="FR17" s="12">
        <v>0</v>
      </c>
      <c r="FS17" s="12"/>
      <c r="FT17" s="12">
        <v>4.9705228399945725</v>
      </c>
      <c r="FU17" s="12">
        <v>204.93291946960665</v>
      </c>
      <c r="FV17" s="12">
        <v>4.8713362586315103</v>
      </c>
      <c r="FW17" s="12">
        <v>1532.9936547762832</v>
      </c>
      <c r="FX17" s="12">
        <v>31.700525643057802</v>
      </c>
      <c r="FY17" s="12">
        <v>89.518482528643048</v>
      </c>
      <c r="FZ17" s="12">
        <v>217.99294231569445</v>
      </c>
      <c r="GA17" s="12">
        <v>26.994303110138883</v>
      </c>
      <c r="GB17" s="12">
        <v>112.67052658236111</v>
      </c>
      <c r="GC17" s="12">
        <v>67.92159303874999</v>
      </c>
      <c r="GD17" s="12">
        <v>102.924015625</v>
      </c>
      <c r="GE17" s="12">
        <v>51.651572055555555</v>
      </c>
      <c r="GF17" s="12">
        <v>101.22070638888889</v>
      </c>
      <c r="GG17" s="12">
        <v>27.915740416666669</v>
      </c>
      <c r="GH17" s="12">
        <v>0</v>
      </c>
      <c r="GI17" s="12">
        <v>0</v>
      </c>
      <c r="GJ17" s="12"/>
      <c r="GK17" s="12">
        <v>6630.10737813985</v>
      </c>
      <c r="GL17" s="12">
        <v>1815.9252080238487</v>
      </c>
      <c r="GM17" s="12">
        <v>1045.2331506746634</v>
      </c>
      <c r="GN17" s="12">
        <v>1372.3608236321206</v>
      </c>
      <c r="GO17" s="12">
        <v>1140.770924730919</v>
      </c>
      <c r="GP17" s="12">
        <v>1584.5736461694917</v>
      </c>
      <c r="GQ17" s="12">
        <v>1141.8217622283762</v>
      </c>
      <c r="GR17" s="12">
        <v>759.24542067687196</v>
      </c>
      <c r="GS17" s="12">
        <v>717.62502072008954</v>
      </c>
      <c r="GT17" s="12">
        <v>439.82003579025496</v>
      </c>
      <c r="GU17" s="12">
        <v>242.51685358413908</v>
      </c>
      <c r="GV17" s="12">
        <v>238.24585854854334</v>
      </c>
      <c r="GW17" s="12">
        <v>294.34655565724353</v>
      </c>
      <c r="GX17" s="12">
        <v>154.01177232437527</v>
      </c>
      <c r="GY17" s="12">
        <v>256.32906986340572</v>
      </c>
      <c r="GZ17" s="12">
        <v>10.700944656983392</v>
      </c>
      <c r="HB17" s="12">
        <v>4160.5394791810932</v>
      </c>
      <c r="HC17" s="12">
        <v>655.39903195088027</v>
      </c>
      <c r="HD17" s="12">
        <v>755.17471525712074</v>
      </c>
      <c r="HE17" s="12">
        <v>1209.39088351092</v>
      </c>
      <c r="HF17" s="12">
        <v>1348.0411923701604</v>
      </c>
      <c r="HG17" s="12">
        <v>1701.2563958734302</v>
      </c>
      <c r="HH17" s="12">
        <v>1100.384597867951</v>
      </c>
      <c r="HI17" s="12">
        <v>2215.8278444988482</v>
      </c>
      <c r="HJ17" s="12">
        <v>1739.3556071482692</v>
      </c>
      <c r="HK17" s="12">
        <v>468.29629066760373</v>
      </c>
      <c r="HL17" s="12">
        <v>983.75178620522365</v>
      </c>
      <c r="HM17" s="12">
        <v>1341.4170114864344</v>
      </c>
      <c r="HN17" s="12">
        <v>751.66622986092841</v>
      </c>
      <c r="HO17" s="12">
        <v>156.69036903533157</v>
      </c>
      <c r="HP17" s="12">
        <v>2.3542374592526341</v>
      </c>
      <c r="HQ17" s="12">
        <v>1.0981750350951014E-5</v>
      </c>
      <c r="HR17" s="6"/>
      <c r="HT17" s="21" t="b">
        <f t="shared" si="15"/>
        <v>1</v>
      </c>
      <c r="HU17" s="21" t="b">
        <f t="shared" si="16"/>
        <v>1</v>
      </c>
      <c r="HV17" s="21" t="b">
        <f t="shared" si="17"/>
        <v>1</v>
      </c>
      <c r="HW17" s="21" t="b">
        <f t="shared" si="18"/>
        <v>1</v>
      </c>
      <c r="HX17" s="21" t="b">
        <f t="shared" si="19"/>
        <v>1</v>
      </c>
      <c r="HY17" s="21" t="b">
        <f t="shared" si="20"/>
        <v>1</v>
      </c>
      <c r="HZ17" s="21" t="b">
        <f t="shared" si="21"/>
        <v>1</v>
      </c>
      <c r="IA17" s="21" t="b">
        <f t="shared" si="22"/>
        <v>1</v>
      </c>
      <c r="IB17" s="21" t="b">
        <f t="shared" si="23"/>
        <v>1</v>
      </c>
      <c r="IC17" s="21" t="b">
        <f t="shared" si="24"/>
        <v>1</v>
      </c>
      <c r="ID17" s="21" t="b">
        <f t="shared" si="25"/>
        <v>1</v>
      </c>
      <c r="IE17" s="21" t="b">
        <f t="shared" si="26"/>
        <v>1</v>
      </c>
      <c r="IF17" s="21" t="b">
        <f t="shared" si="27"/>
        <v>1</v>
      </c>
      <c r="IG17" s="21" t="b">
        <f t="shared" si="28"/>
        <v>1</v>
      </c>
      <c r="IH17" s="21" t="b">
        <f t="shared" si="29"/>
        <v>1</v>
      </c>
      <c r="II17" s="21" t="b">
        <f t="shared" si="30"/>
        <v>1</v>
      </c>
      <c r="IK17" s="21" t="b">
        <f t="shared" si="31"/>
        <v>1</v>
      </c>
      <c r="IL17" s="21" t="b">
        <f t="shared" si="32"/>
        <v>1</v>
      </c>
      <c r="IM17" s="21" t="b">
        <f t="shared" si="33"/>
        <v>1</v>
      </c>
      <c r="IN17" s="21" t="b">
        <f t="shared" si="34"/>
        <v>1</v>
      </c>
      <c r="IO17" s="21" t="b">
        <f t="shared" si="35"/>
        <v>1</v>
      </c>
      <c r="IP17" s="21" t="b">
        <f t="shared" si="36"/>
        <v>1</v>
      </c>
      <c r="IQ17" s="21" t="b">
        <f t="shared" si="37"/>
        <v>1</v>
      </c>
      <c r="IR17" s="21" t="b">
        <f t="shared" si="38"/>
        <v>1</v>
      </c>
      <c r="IS17" s="21" t="b">
        <f t="shared" si="39"/>
        <v>1</v>
      </c>
      <c r="IT17" s="21" t="b">
        <f t="shared" si="40"/>
        <v>1</v>
      </c>
      <c r="IU17" s="21" t="b">
        <f t="shared" si="41"/>
        <v>1</v>
      </c>
      <c r="IV17" s="21" t="b">
        <f t="shared" si="42"/>
        <v>1</v>
      </c>
      <c r="IW17" s="21" t="b">
        <f t="shared" si="43"/>
        <v>1</v>
      </c>
      <c r="IX17" s="21" t="b">
        <f t="shared" si="44"/>
        <v>1</v>
      </c>
      <c r="IY17" s="21" t="b">
        <f t="shared" si="45"/>
        <v>1</v>
      </c>
      <c r="IZ17" s="21" t="b">
        <f t="shared" si="46"/>
        <v>1</v>
      </c>
      <c r="JB17" s="21"/>
    </row>
    <row r="18" spans="1:262" s="3" customFormat="1" x14ac:dyDescent="0.25">
      <c r="B18" s="24">
        <v>41820</v>
      </c>
      <c r="C18" s="25"/>
      <c r="D18" s="26"/>
      <c r="E18" s="27"/>
      <c r="F18" s="12">
        <v>4630.2948867040241</v>
      </c>
      <c r="G18" s="12">
        <v>10.017029166666667</v>
      </c>
      <c r="H18" s="12">
        <v>15.0144375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15.023999999999999</v>
      </c>
      <c r="X18" s="12">
        <v>15.050625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101.03959743632549</v>
      </c>
      <c r="AO18" s="12">
        <v>144.70219523817389</v>
      </c>
      <c r="AP18" s="12">
        <v>5.0656376444360758</v>
      </c>
      <c r="AQ18" s="12">
        <v>225.00513731298213</v>
      </c>
      <c r="AR18" s="12">
        <v>11.419666591686413</v>
      </c>
      <c r="AS18" s="12">
        <v>83.92237860147047</v>
      </c>
      <c r="AT18" s="12">
        <v>110.42974541260412</v>
      </c>
      <c r="AU18" s="12">
        <v>65.505521187309427</v>
      </c>
      <c r="AV18" s="12">
        <v>148.23970139312868</v>
      </c>
      <c r="AW18" s="12">
        <v>74.519848506043004</v>
      </c>
      <c r="AX18" s="12">
        <v>57.211514137798773</v>
      </c>
      <c r="AY18" s="12">
        <v>61.139270055630043</v>
      </c>
      <c r="AZ18" s="12">
        <v>151.95114550323299</v>
      </c>
      <c r="BA18" s="12">
        <v>48.149679070313809</v>
      </c>
      <c r="BB18" s="12">
        <v>10.000720841681417</v>
      </c>
      <c r="BC18" s="12">
        <v>0</v>
      </c>
      <c r="BD18" s="12"/>
      <c r="BE18" s="12">
        <v>1910.6373636939857</v>
      </c>
      <c r="BF18" s="12">
        <v>1711.5621498785597</v>
      </c>
      <c r="BG18" s="12">
        <v>1200.6362760648537</v>
      </c>
      <c r="BH18" s="12">
        <v>1330.5458694907388</v>
      </c>
      <c r="BI18" s="12">
        <v>1082.102775635311</v>
      </c>
      <c r="BJ18" s="12">
        <v>1539.5999496089883</v>
      </c>
      <c r="BK18" s="12">
        <v>1033.6881704807813</v>
      </c>
      <c r="BL18" s="12">
        <v>814.76501997210312</v>
      </c>
      <c r="BM18" s="12">
        <v>578.86322130516419</v>
      </c>
      <c r="BN18" s="12">
        <v>330.09695759725781</v>
      </c>
      <c r="BO18" s="12">
        <v>194.48512461035446</v>
      </c>
      <c r="BP18" s="12">
        <v>159.15492095975341</v>
      </c>
      <c r="BQ18" s="12">
        <v>108.95255623208351</v>
      </c>
      <c r="BR18" s="12">
        <v>105.3752975604913</v>
      </c>
      <c r="BS18" s="12">
        <v>250.42937614263147</v>
      </c>
      <c r="BT18" s="12">
        <v>10.388317206349242</v>
      </c>
      <c r="BU18" s="12"/>
      <c r="BV18" s="12">
        <v>3640.9154008396754</v>
      </c>
      <c r="BW18" s="12">
        <v>651.90607741384861</v>
      </c>
      <c r="BX18" s="12">
        <v>245.43830215468466</v>
      </c>
      <c r="BY18" s="12">
        <v>482.57649334149863</v>
      </c>
      <c r="BZ18" s="12">
        <v>728.4303568301973</v>
      </c>
      <c r="CA18" s="12">
        <v>629.12812194525509</v>
      </c>
      <c r="CB18" s="12">
        <v>588.03321977182566</v>
      </c>
      <c r="CC18" s="12">
        <v>2127.7836509293638</v>
      </c>
      <c r="CD18" s="12">
        <v>1589.4254182655545</v>
      </c>
      <c r="CE18" s="12">
        <v>9.6490888596352145E-2</v>
      </c>
      <c r="CF18" s="12">
        <v>9.6227252288711831E-2</v>
      </c>
      <c r="CG18" s="12">
        <v>9.6227252288711831E-2</v>
      </c>
      <c r="CH18" s="12">
        <v>9.6227252288711831E-2</v>
      </c>
      <c r="CI18" s="12">
        <v>71.038539002101345</v>
      </c>
      <c r="CJ18" s="12">
        <v>1.0773290510671996E-5</v>
      </c>
      <c r="CK18" s="12">
        <v>1.0776240480691348E-5</v>
      </c>
      <c r="CL18" s="12"/>
      <c r="CM18" s="12">
        <v>8.0000222222222224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51.046852159375703</v>
      </c>
      <c r="DE18" s="12">
        <v>2.2071091036241257</v>
      </c>
      <c r="DF18" s="12">
        <v>0.60093745575376334</v>
      </c>
      <c r="DG18" s="12">
        <v>3.7463135225615765</v>
      </c>
      <c r="DH18" s="12">
        <v>6.2245642876262179</v>
      </c>
      <c r="DI18" s="12">
        <v>0.60620634899430892</v>
      </c>
      <c r="DJ18" s="12">
        <v>0.60515317876377428</v>
      </c>
      <c r="DK18" s="12">
        <v>42.312185248196037</v>
      </c>
      <c r="DL18" s="12">
        <v>27.947642101123169</v>
      </c>
      <c r="DM18" s="12">
        <v>1.7396184177561531E-4</v>
      </c>
      <c r="DN18" s="12">
        <v>1.7348653619699339E-4</v>
      </c>
      <c r="DO18" s="12">
        <v>1.7348653619699339E-4</v>
      </c>
      <c r="DP18" s="12">
        <v>1.7348653619699339E-4</v>
      </c>
      <c r="DQ18" s="12">
        <v>0.10242097439079077</v>
      </c>
      <c r="DR18" s="12">
        <v>0</v>
      </c>
      <c r="DS18" s="12">
        <v>0</v>
      </c>
      <c r="DT18" s="12"/>
      <c r="DU18" s="12">
        <v>220.41731218124661</v>
      </c>
      <c r="DV18" s="12">
        <v>502.70064200043151</v>
      </c>
      <c r="DW18" s="12">
        <v>131.10710467375287</v>
      </c>
      <c r="DX18" s="12">
        <v>667.60727863406896</v>
      </c>
      <c r="DY18" s="12">
        <v>540.18887513380662</v>
      </c>
      <c r="DZ18" s="12">
        <v>364.83864191018915</v>
      </c>
      <c r="EA18" s="12">
        <v>334.70229587752368</v>
      </c>
      <c r="EB18" s="12">
        <v>55.40345200716267</v>
      </c>
      <c r="EC18" s="12">
        <v>55.278207824083132</v>
      </c>
      <c r="ED18" s="12">
        <v>52.954539087827619</v>
      </c>
      <c r="EE18" s="12">
        <v>52.905176143314414</v>
      </c>
      <c r="EF18" s="12">
        <v>52.87032379703075</v>
      </c>
      <c r="EG18" s="12">
        <v>0</v>
      </c>
      <c r="EH18" s="12">
        <v>7.9199623544164099</v>
      </c>
      <c r="EI18" s="12">
        <v>2.2234861570824811</v>
      </c>
      <c r="EJ18" s="12">
        <v>0</v>
      </c>
      <c r="EK18" s="12"/>
      <c r="EL18" s="12">
        <v>0.28319010416666668</v>
      </c>
      <c r="EM18" s="12">
        <v>1.6506331736111113</v>
      </c>
      <c r="EN18" s="12">
        <v>47.868753201472224</v>
      </c>
      <c r="EO18" s="12">
        <v>52.67856045138889</v>
      </c>
      <c r="EP18" s="12">
        <v>101.23339751906597</v>
      </c>
      <c r="EQ18" s="12">
        <v>682.1784585452292</v>
      </c>
      <c r="ER18" s="12">
        <v>180.14189721532986</v>
      </c>
      <c r="ES18" s="12">
        <v>177.0767514375521</v>
      </c>
      <c r="ET18" s="12">
        <v>177.0767514375521</v>
      </c>
      <c r="EU18" s="12">
        <v>415.23897655564588</v>
      </c>
      <c r="EV18" s="12">
        <v>930.74376532644089</v>
      </c>
      <c r="EW18" s="12">
        <v>1288.4284370473056</v>
      </c>
      <c r="EX18" s="12">
        <v>747.16660906250002</v>
      </c>
      <c r="EY18" s="12">
        <v>0</v>
      </c>
      <c r="EZ18" s="12">
        <v>0</v>
      </c>
      <c r="FA18" s="12">
        <v>0</v>
      </c>
      <c r="FB18" s="12"/>
      <c r="FC18" s="12">
        <v>174.46796330707733</v>
      </c>
      <c r="FD18" s="12">
        <v>212.57367778271737</v>
      </c>
      <c r="FE18" s="12">
        <v>389.16290658424413</v>
      </c>
      <c r="FF18" s="12">
        <v>115.15821052739722</v>
      </c>
      <c r="FG18" s="12">
        <v>28.918109641133334</v>
      </c>
      <c r="FH18" s="12">
        <v>57.615392882513866</v>
      </c>
      <c r="FI18" s="12">
        <v>57.683666760949983</v>
      </c>
      <c r="FJ18" s="12">
        <v>57.570665895847199</v>
      </c>
      <c r="FK18" s="12">
        <v>57.570665895847199</v>
      </c>
      <c r="FL18" s="12">
        <v>57.615392882513866</v>
      </c>
      <c r="FM18" s="12">
        <v>930.99206187206096</v>
      </c>
      <c r="FN18" s="12">
        <v>705.23172648251386</v>
      </c>
      <c r="FO18" s="12">
        <v>741.57202260579732</v>
      </c>
      <c r="FP18" s="12">
        <v>0</v>
      </c>
      <c r="FQ18" s="12">
        <v>0</v>
      </c>
      <c r="FR18" s="12">
        <v>0</v>
      </c>
      <c r="FS18" s="12"/>
      <c r="FT18" s="12">
        <v>204.93200540277198</v>
      </c>
      <c r="FU18" s="12">
        <v>4.8689616805383853</v>
      </c>
      <c r="FV18" s="12">
        <v>1282.2514865375872</v>
      </c>
      <c r="FW18" s="12">
        <v>731.88583347892097</v>
      </c>
      <c r="FX18" s="12">
        <v>31.773291227229542</v>
      </c>
      <c r="FY18" s="12">
        <v>84.838646958166265</v>
      </c>
      <c r="FZ18" s="12">
        <v>217.72805988236112</v>
      </c>
      <c r="GA18" s="12">
        <v>26.977771443472214</v>
      </c>
      <c r="GB18" s="12">
        <v>122.67666824902777</v>
      </c>
      <c r="GC18" s="12">
        <v>57.916178038750004</v>
      </c>
      <c r="GD18" s="12">
        <v>116.06795268055555</v>
      </c>
      <c r="GE18" s="12">
        <v>38.506908333333328</v>
      </c>
      <c r="GF18" s="12">
        <v>101.08845305555555</v>
      </c>
      <c r="GG18" s="12">
        <v>27.915740416666669</v>
      </c>
      <c r="GH18" s="12">
        <v>0</v>
      </c>
      <c r="GI18" s="12">
        <v>0</v>
      </c>
      <c r="GJ18" s="12"/>
      <c r="GK18" s="12">
        <v>6656.995847834336</v>
      </c>
      <c r="GL18" s="12">
        <v>1881.3319992834004</v>
      </c>
      <c r="GM18" s="12">
        <v>1220.7163512092898</v>
      </c>
      <c r="GN18" s="12">
        <v>1555.5510068037211</v>
      </c>
      <c r="GO18" s="12">
        <v>1093.5224422269973</v>
      </c>
      <c r="GP18" s="12">
        <v>1623.5223282104587</v>
      </c>
      <c r="GQ18" s="12">
        <v>1144.1179158933855</v>
      </c>
      <c r="GR18" s="12">
        <v>880.27054115941257</v>
      </c>
      <c r="GS18" s="12">
        <v>727.1029226982929</v>
      </c>
      <c r="GT18" s="12">
        <v>404.6168061033008</v>
      </c>
      <c r="GU18" s="12">
        <v>251.69663874815325</v>
      </c>
      <c r="GV18" s="12">
        <v>220.29419101538346</v>
      </c>
      <c r="GW18" s="12">
        <v>260.90370173531653</v>
      </c>
      <c r="GX18" s="12">
        <v>153.5249766308051</v>
      </c>
      <c r="GY18" s="12">
        <v>260.43009698431291</v>
      </c>
      <c r="GZ18" s="12">
        <v>10.388317206349242</v>
      </c>
      <c r="HA18"/>
      <c r="HB18" s="12">
        <v>3920.6627775066863</v>
      </c>
      <c r="HC18" s="12">
        <v>1158.4644616915155</v>
      </c>
      <c r="HD18" s="12">
        <v>425.01509748566349</v>
      </c>
      <c r="HE18" s="12">
        <v>1206.6086459495182</v>
      </c>
      <c r="HF18" s="12">
        <v>1376.0771937706959</v>
      </c>
      <c r="HG18" s="12">
        <v>1676.7514287496679</v>
      </c>
      <c r="HH18" s="12">
        <v>1103.4825660434431</v>
      </c>
      <c r="HI18" s="12">
        <v>2402.5760396222745</v>
      </c>
      <c r="HJ18" s="12">
        <v>1849.7280196283129</v>
      </c>
      <c r="HK18" s="12">
        <v>468.29018049391163</v>
      </c>
      <c r="HL18" s="12">
        <v>983.74534220858027</v>
      </c>
      <c r="HM18" s="12">
        <v>1341.3951615831613</v>
      </c>
      <c r="HN18" s="12">
        <v>747.26300980132487</v>
      </c>
      <c r="HO18" s="12">
        <v>79.060922330908554</v>
      </c>
      <c r="HP18" s="12">
        <v>2.2234969303729919</v>
      </c>
      <c r="HQ18" s="12">
        <v>1.0776240480691348E-5</v>
      </c>
      <c r="HR18" s="6"/>
      <c r="HS18"/>
      <c r="HT18" s="21" t="b">
        <f t="shared" si="15"/>
        <v>1</v>
      </c>
      <c r="HU18" s="21" t="b">
        <f t="shared" si="16"/>
        <v>1</v>
      </c>
      <c r="HV18" s="21" t="b">
        <f t="shared" si="17"/>
        <v>1</v>
      </c>
      <c r="HW18" s="21" t="b">
        <f t="shared" si="18"/>
        <v>1</v>
      </c>
      <c r="HX18" s="21" t="b">
        <f t="shared" si="19"/>
        <v>1</v>
      </c>
      <c r="HY18" s="21" t="b">
        <f t="shared" si="20"/>
        <v>1</v>
      </c>
      <c r="HZ18" s="21" t="b">
        <f t="shared" si="21"/>
        <v>1</v>
      </c>
      <c r="IA18" s="21" t="b">
        <f t="shared" si="22"/>
        <v>1</v>
      </c>
      <c r="IB18" s="21" t="b">
        <f t="shared" si="23"/>
        <v>1</v>
      </c>
      <c r="IC18" s="21" t="b">
        <f t="shared" si="24"/>
        <v>1</v>
      </c>
      <c r="ID18" s="21" t="b">
        <f t="shared" si="25"/>
        <v>1</v>
      </c>
      <c r="IE18" s="21" t="b">
        <f t="shared" si="26"/>
        <v>1</v>
      </c>
      <c r="IF18" s="21" t="b">
        <f t="shared" si="27"/>
        <v>1</v>
      </c>
      <c r="IG18" s="21" t="b">
        <f t="shared" si="28"/>
        <v>1</v>
      </c>
      <c r="IH18" s="21" t="b">
        <f t="shared" si="29"/>
        <v>1</v>
      </c>
      <c r="II18" s="21" t="b">
        <f t="shared" si="30"/>
        <v>1</v>
      </c>
      <c r="IJ18"/>
      <c r="IK18" s="21" t="b">
        <f t="shared" si="31"/>
        <v>1</v>
      </c>
      <c r="IL18" s="21" t="b">
        <f t="shared" si="32"/>
        <v>1</v>
      </c>
      <c r="IM18" s="21" t="b">
        <f t="shared" si="33"/>
        <v>1</v>
      </c>
      <c r="IN18" s="21" t="b">
        <f t="shared" si="34"/>
        <v>1</v>
      </c>
      <c r="IO18" s="21" t="b">
        <f t="shared" si="35"/>
        <v>1</v>
      </c>
      <c r="IP18" s="21" t="b">
        <f t="shared" si="36"/>
        <v>1</v>
      </c>
      <c r="IQ18" s="21" t="b">
        <f t="shared" si="37"/>
        <v>1</v>
      </c>
      <c r="IR18" s="21" t="b">
        <f t="shared" si="38"/>
        <v>1</v>
      </c>
      <c r="IS18" s="21" t="b">
        <f t="shared" si="39"/>
        <v>1</v>
      </c>
      <c r="IT18" s="21" t="b">
        <f t="shared" si="40"/>
        <v>1</v>
      </c>
      <c r="IU18" s="21" t="b">
        <f t="shared" si="41"/>
        <v>1</v>
      </c>
      <c r="IV18" s="21" t="b">
        <f t="shared" si="42"/>
        <v>1</v>
      </c>
      <c r="IW18" s="21" t="b">
        <f t="shared" si="43"/>
        <v>1</v>
      </c>
      <c r="IX18" s="21" t="b">
        <f t="shared" si="44"/>
        <v>1</v>
      </c>
      <c r="IY18" s="21" t="b">
        <f t="shared" si="45"/>
        <v>1</v>
      </c>
      <c r="IZ18" s="21" t="b">
        <f t="shared" si="46"/>
        <v>1</v>
      </c>
      <c r="JB18" s="28"/>
    </row>
    <row r="19" spans="1:262" s="3" customFormat="1" x14ac:dyDescent="0.25">
      <c r="B19" s="24">
        <v>41851</v>
      </c>
      <c r="C19" s="25"/>
      <c r="D19" s="26"/>
      <c r="E19" s="27"/>
      <c r="F19" s="12">
        <v>5103.6141832921012</v>
      </c>
      <c r="G19" s="12">
        <v>15.0144375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10.014166666666666</v>
      </c>
      <c r="X19" s="12">
        <v>10.031666666666666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49.952453833432919</v>
      </c>
      <c r="AO19" s="12">
        <v>5.0773333173826334</v>
      </c>
      <c r="AP19" s="12">
        <v>110.80921007960063</v>
      </c>
      <c r="AQ19" s="12">
        <v>151.72345118958253</v>
      </c>
      <c r="AR19" s="12">
        <v>28.137451018508195</v>
      </c>
      <c r="AS19" s="12">
        <v>66.953013136340999</v>
      </c>
      <c r="AT19" s="12">
        <v>110.3562884604921</v>
      </c>
      <c r="AU19" s="12">
        <v>52.813224000508889</v>
      </c>
      <c r="AV19" s="12">
        <v>143.41770170067724</v>
      </c>
      <c r="AW19" s="12">
        <v>57.769948264679854</v>
      </c>
      <c r="AX19" s="12">
        <v>57.214739000501247</v>
      </c>
      <c r="AY19" s="12">
        <v>60.990104649537905</v>
      </c>
      <c r="AZ19" s="12">
        <v>145.61734722264453</v>
      </c>
      <c r="BA19" s="12">
        <v>0.43714104974437085</v>
      </c>
      <c r="BB19" s="12">
        <v>10.039420058611416</v>
      </c>
      <c r="BC19" s="12">
        <v>0</v>
      </c>
      <c r="BD19" s="12"/>
      <c r="BE19" s="12">
        <v>2077.8230524137066</v>
      </c>
      <c r="BF19" s="12">
        <v>1878.182405157926</v>
      </c>
      <c r="BG19" s="12">
        <v>1021.8532020003589</v>
      </c>
      <c r="BH19" s="12">
        <v>1283.4478515128733</v>
      </c>
      <c r="BI19" s="12">
        <v>1148.7898701362224</v>
      </c>
      <c r="BJ19" s="12">
        <v>1489.2703572048754</v>
      </c>
      <c r="BK19" s="12">
        <v>1037.1236925536493</v>
      </c>
      <c r="BL19" s="12">
        <v>849.80106901050112</v>
      </c>
      <c r="BM19" s="12">
        <v>560.99030800219452</v>
      </c>
      <c r="BN19" s="12">
        <v>326.23585192147749</v>
      </c>
      <c r="BO19" s="12">
        <v>210.32089605123363</v>
      </c>
      <c r="BP19" s="12">
        <v>141.5021538503041</v>
      </c>
      <c r="BQ19" s="12">
        <v>107.7554333508356</v>
      </c>
      <c r="BR19" s="12">
        <v>101.02219032816483</v>
      </c>
      <c r="BS19" s="12">
        <v>250.20111502090379</v>
      </c>
      <c r="BT19" s="12">
        <v>9.9609674723860824</v>
      </c>
      <c r="BU19" s="12"/>
      <c r="BV19" s="12">
        <v>3509.1663420882696</v>
      </c>
      <c r="BW19" s="12">
        <v>744.84843989938156</v>
      </c>
      <c r="BX19" s="12">
        <v>164.32773062579722</v>
      </c>
      <c r="BY19" s="12">
        <v>483.38383875250514</v>
      </c>
      <c r="BZ19" s="12">
        <v>735.10271246768104</v>
      </c>
      <c r="CA19" s="12">
        <v>625.60683491099678</v>
      </c>
      <c r="CB19" s="12">
        <v>585.36674964183851</v>
      </c>
      <c r="CC19" s="12">
        <v>2066.5296775283718</v>
      </c>
      <c r="CD19" s="12">
        <v>1548.5407920312412</v>
      </c>
      <c r="CE19" s="12">
        <v>9.5480517727473194E-2</v>
      </c>
      <c r="CF19" s="12">
        <v>9.5219641995977364E-2</v>
      </c>
      <c r="CG19" s="12">
        <v>9.5219641995977364E-2</v>
      </c>
      <c r="CH19" s="12">
        <v>9.5219641995977364E-2</v>
      </c>
      <c r="CI19" s="12">
        <v>71.465111112334938</v>
      </c>
      <c r="CJ19" s="12">
        <v>1.0418763968270841E-5</v>
      </c>
      <c r="CK19" s="12">
        <v>1.0421616860923707E-5</v>
      </c>
      <c r="CL19" s="12"/>
      <c r="CM19" s="12">
        <v>40.000133333333338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66.542436297362485</v>
      </c>
      <c r="DE19" s="12">
        <v>5.659810795490559</v>
      </c>
      <c r="DF19" s="12">
        <v>1.1805139324839944</v>
      </c>
      <c r="DG19" s="12">
        <v>7.4814595044713013</v>
      </c>
      <c r="DH19" s="12">
        <v>9.3101292344464319</v>
      </c>
      <c r="DI19" s="12">
        <v>1.73122441041258</v>
      </c>
      <c r="DJ19" s="12">
        <v>1.728298254000717</v>
      </c>
      <c r="DK19" s="12">
        <v>20.241277996855516</v>
      </c>
      <c r="DL19" s="12">
        <v>13.847060813319658</v>
      </c>
      <c r="DM19" s="12">
        <v>4.7847345553669071E-4</v>
      </c>
      <c r="DN19" s="12">
        <v>4.7716615101336642E-4</v>
      </c>
      <c r="DO19" s="12">
        <v>4.7716615101336642E-4</v>
      </c>
      <c r="DP19" s="12">
        <v>4.7716615101336642E-4</v>
      </c>
      <c r="DQ19" s="12">
        <v>0.29084184361152993</v>
      </c>
      <c r="DR19" s="12">
        <v>0</v>
      </c>
      <c r="DS19" s="12">
        <v>0</v>
      </c>
      <c r="DT19" s="12"/>
      <c r="DU19" s="12">
        <v>595.14172434336831</v>
      </c>
      <c r="DV19" s="12">
        <v>130.97195467861613</v>
      </c>
      <c r="DW19" s="12">
        <v>327.2909241127112</v>
      </c>
      <c r="DX19" s="12">
        <v>657.06483565015299</v>
      </c>
      <c r="DY19" s="12">
        <v>642.26450900505154</v>
      </c>
      <c r="DZ19" s="12">
        <v>322.10505277162548</v>
      </c>
      <c r="EA19" s="12">
        <v>328.74031243356603</v>
      </c>
      <c r="EB19" s="12">
        <v>55.380265140602098</v>
      </c>
      <c r="EC19" s="12">
        <v>55.243251369639943</v>
      </c>
      <c r="ED19" s="12">
        <v>52.954539087827634</v>
      </c>
      <c r="EE19" s="12">
        <v>52.905176143314399</v>
      </c>
      <c r="EF19" s="12">
        <v>48.466270378974535</v>
      </c>
      <c r="EG19" s="12">
        <v>0</v>
      </c>
      <c r="EH19" s="12">
        <v>86.029370534275159</v>
      </c>
      <c r="EI19" s="12">
        <v>2.077652957623874</v>
      </c>
      <c r="EJ19" s="12">
        <v>0</v>
      </c>
      <c r="EK19" s="12"/>
      <c r="EL19" s="12">
        <v>1.6506331736111113</v>
      </c>
      <c r="EM19" s="12">
        <v>42.645413590361109</v>
      </c>
      <c r="EN19" s="12">
        <v>38.178888270833333</v>
      </c>
      <c r="EO19" s="12">
        <v>18.020916597222225</v>
      </c>
      <c r="EP19" s="12">
        <v>99.274307782954878</v>
      </c>
      <c r="EQ19" s="12">
        <v>462.79108689939585</v>
      </c>
      <c r="ER19" s="12">
        <v>186.5590382569965</v>
      </c>
      <c r="ES19" s="12">
        <v>410.46569377088548</v>
      </c>
      <c r="ET19" s="12">
        <v>177.0767514375521</v>
      </c>
      <c r="EU19" s="12">
        <v>415.23897655564588</v>
      </c>
      <c r="EV19" s="12">
        <v>930.74376532644089</v>
      </c>
      <c r="EW19" s="12">
        <v>1288.4284370473056</v>
      </c>
      <c r="EX19" s="12">
        <v>747.16660906250002</v>
      </c>
      <c r="EY19" s="12">
        <v>0</v>
      </c>
      <c r="EZ19" s="12">
        <v>0</v>
      </c>
      <c r="FA19" s="12">
        <v>0</v>
      </c>
      <c r="FB19" s="12"/>
      <c r="FC19" s="12">
        <v>290.73967202023005</v>
      </c>
      <c r="FD19" s="12">
        <v>351.66249583160209</v>
      </c>
      <c r="FE19" s="12">
        <v>88.500633292168374</v>
      </c>
      <c r="FF19" s="12">
        <v>112.30039476488788</v>
      </c>
      <c r="FG19" s="12">
        <v>31.624683434713887</v>
      </c>
      <c r="FH19" s="12">
        <v>63.886852080949986</v>
      </c>
      <c r="FI19" s="12">
        <v>63.71229784029164</v>
      </c>
      <c r="FJ19" s="12">
        <v>63.71229784029164</v>
      </c>
      <c r="FK19" s="12">
        <v>63.71229784029164</v>
      </c>
      <c r="FL19" s="12">
        <v>63.886852080949986</v>
      </c>
      <c r="FM19" s="12">
        <v>926.70956539584699</v>
      </c>
      <c r="FN19" s="12">
        <v>960.19551120473602</v>
      </c>
      <c r="FO19" s="12">
        <v>731.42999357775</v>
      </c>
      <c r="FP19" s="12">
        <v>0</v>
      </c>
      <c r="FQ19" s="12">
        <v>0</v>
      </c>
      <c r="FR19" s="12">
        <v>0</v>
      </c>
      <c r="FS19" s="12"/>
      <c r="FT19" s="12">
        <v>4.8680376698823835</v>
      </c>
      <c r="FU19" s="12">
        <v>1281.8346759375872</v>
      </c>
      <c r="FV19" s="12">
        <v>1171.5846845649567</v>
      </c>
      <c r="FW19" s="12">
        <v>15.03520409377059</v>
      </c>
      <c r="FX19" s="12">
        <v>41.294329212638829</v>
      </c>
      <c r="FY19" s="12">
        <v>69.05702772489515</v>
      </c>
      <c r="FZ19" s="12">
        <v>216.42850779902778</v>
      </c>
      <c r="GA19" s="12">
        <v>15.678484360138892</v>
      </c>
      <c r="GB19" s="12">
        <v>118.46933134333334</v>
      </c>
      <c r="GC19" s="12">
        <v>49.714554249999992</v>
      </c>
      <c r="GD19" s="12">
        <v>114.95141743055555</v>
      </c>
      <c r="GE19" s="12">
        <v>37.677699305555549</v>
      </c>
      <c r="GF19" s="12">
        <v>100.25924402777778</v>
      </c>
      <c r="GG19" s="12">
        <v>0</v>
      </c>
      <c r="GH19" s="12">
        <v>0</v>
      </c>
      <c r="GI19" s="12">
        <v>0</v>
      </c>
      <c r="GJ19" s="12"/>
      <c r="GK19" s="12">
        <v>7241.4038562059068</v>
      </c>
      <c r="GL19" s="12">
        <v>1908.3058426419752</v>
      </c>
      <c r="GM19" s="12">
        <v>1132.6624120799595</v>
      </c>
      <c r="GN19" s="12">
        <v>1435.1713027024557</v>
      </c>
      <c r="GO19" s="12">
        <v>1176.9273211547306</v>
      </c>
      <c r="GP19" s="12">
        <v>1556.2233703412164</v>
      </c>
      <c r="GQ19" s="12">
        <v>1147.4799810141415</v>
      </c>
      <c r="GR19" s="12">
        <v>902.61429301100998</v>
      </c>
      <c r="GS19" s="12">
        <v>704.40800970287182</v>
      </c>
      <c r="GT19" s="12">
        <v>384.00580018615733</v>
      </c>
      <c r="GU19" s="12">
        <v>267.53563505173486</v>
      </c>
      <c r="GV19" s="12">
        <v>202.49225849984199</v>
      </c>
      <c r="GW19" s="12">
        <v>253.37278057348013</v>
      </c>
      <c r="GX19" s="12">
        <v>101.45933137790919</v>
      </c>
      <c r="GY19" s="12">
        <v>260.24053507951521</v>
      </c>
      <c r="GZ19" s="12">
        <v>9.9609674723860824</v>
      </c>
      <c r="HA19"/>
      <c r="HB19" s="12">
        <v>4212.5012692359451</v>
      </c>
      <c r="HC19" s="12">
        <v>924.12561896384943</v>
      </c>
      <c r="HD19" s="12">
        <v>530.97805694182568</v>
      </c>
      <c r="HE19" s="12">
        <v>1165.9510505043515</v>
      </c>
      <c r="HF19" s="12">
        <v>1485.9516584901337</v>
      </c>
      <c r="HG19" s="12">
        <v>1412.2341989924307</v>
      </c>
      <c r="HH19" s="12">
        <v>1102.3943985864018</v>
      </c>
      <c r="HI19" s="12">
        <v>2552.616914436715</v>
      </c>
      <c r="HJ19" s="12">
        <v>1794.7078556517527</v>
      </c>
      <c r="HK19" s="12">
        <v>468.28947463465653</v>
      </c>
      <c r="HL19" s="12">
        <v>983.74463827790225</v>
      </c>
      <c r="HM19" s="12">
        <v>1336.9904042344272</v>
      </c>
      <c r="HN19" s="12">
        <v>747.26230587064697</v>
      </c>
      <c r="HO19" s="12">
        <v>157.78532349022163</v>
      </c>
      <c r="HP19" s="12">
        <v>2.0776633763878425</v>
      </c>
      <c r="HQ19" s="12">
        <v>1.0421616860923707E-5</v>
      </c>
      <c r="HR19" s="6"/>
      <c r="HS19"/>
      <c r="HT19" s="21" t="b">
        <f t="shared" ref="HT19" si="47">+GK19=F19+W19+AN19+BE19</f>
        <v>1</v>
      </c>
      <c r="HU19" s="21" t="b">
        <f t="shared" ref="HU19" si="48">+GL19=G19+X19+AO19+BF19</f>
        <v>1</v>
      </c>
      <c r="HV19" s="21" t="b">
        <f t="shared" ref="HV19" si="49">+GM19=H19+Y19+AP19+BG19</f>
        <v>1</v>
      </c>
      <c r="HW19" s="21" t="b">
        <f t="shared" ref="HW19" si="50">+GN19=I19+Z19+AQ19+BH19</f>
        <v>1</v>
      </c>
      <c r="HX19" s="21" t="b">
        <f t="shared" ref="HX19" si="51">+GO19=J19+AA19+AR19+BI19</f>
        <v>1</v>
      </c>
      <c r="HY19" s="21" t="b">
        <f t="shared" ref="HY19" si="52">+GP19=K19+AB19+AS19+BJ19</f>
        <v>1</v>
      </c>
      <c r="HZ19" s="21" t="b">
        <f t="shared" ref="HZ19" si="53">+GQ19=L19+AC19+AT19+BK19</f>
        <v>1</v>
      </c>
      <c r="IA19" s="21" t="b">
        <f t="shared" ref="IA19" si="54">+GR19=M19+AD19+AU19+BL19</f>
        <v>1</v>
      </c>
      <c r="IB19" s="21" t="b">
        <f t="shared" ref="IB19" si="55">+GS19=N19+AE19+AV19+BM19</f>
        <v>1</v>
      </c>
      <c r="IC19" s="21" t="b">
        <f t="shared" ref="IC19" si="56">+GT19=O19+AF19+AW19+BN19</f>
        <v>1</v>
      </c>
      <c r="ID19" s="21" t="b">
        <f t="shared" ref="ID19" si="57">+GU19=P19+AG19+AX19+BO19</f>
        <v>1</v>
      </c>
      <c r="IE19" s="21" t="b">
        <f t="shared" ref="IE19" si="58">+GV19=Q19+AH19+AY19+BP19</f>
        <v>1</v>
      </c>
      <c r="IF19" s="21" t="b">
        <f t="shared" ref="IF19" si="59">+GW19=R19+AI19+AZ19+BQ19</f>
        <v>1</v>
      </c>
      <c r="IG19" s="21" t="b">
        <f t="shared" ref="IG19" si="60">+GX19=S19+AJ19+BA19+BR19</f>
        <v>1</v>
      </c>
      <c r="IH19" s="21" t="b">
        <f t="shared" ref="IH19" si="61">+GY19=T19+AK19+BB19+BS19</f>
        <v>1</v>
      </c>
      <c r="II19" s="21" t="b">
        <f t="shared" ref="II19" si="62">+GZ19=U19+AL19+BC19+BT19</f>
        <v>1</v>
      </c>
      <c r="IJ19"/>
      <c r="IK19" s="21" t="b">
        <f t="shared" ref="IK19" si="63">+HB19=BV19+CM19+DD19+DU19+EL19</f>
        <v>1</v>
      </c>
      <c r="IL19" s="21" t="b">
        <f t="shared" ref="IL19" si="64">+HC19=BW19+CN19+DE19+DV19+EM19</f>
        <v>1</v>
      </c>
      <c r="IM19" s="21" t="b">
        <f t="shared" ref="IM19" si="65">+HD19=BX19+CO19+DF19+DW19+EN19</f>
        <v>1</v>
      </c>
      <c r="IN19" s="21" t="b">
        <f t="shared" ref="IN19" si="66">+HE19=BY19+CP19+DG19+DX19+EO19</f>
        <v>1</v>
      </c>
      <c r="IO19" s="21" t="b">
        <f t="shared" ref="IO19" si="67">+HF19=BZ19+CQ19+DH19+DY19+EP19</f>
        <v>1</v>
      </c>
      <c r="IP19" s="21" t="b">
        <f t="shared" ref="IP19" si="68">+HG19=CA19+CR19+DI19+DZ19+EQ19</f>
        <v>1</v>
      </c>
      <c r="IQ19" s="21" t="b">
        <f t="shared" ref="IQ19" si="69">+HH19=CB19+CS19+DJ19+EA19+ER19</f>
        <v>1</v>
      </c>
      <c r="IR19" s="21" t="b">
        <f t="shared" ref="IR19" si="70">+HI19=CC19+CT19+DK19+EB19+ES19</f>
        <v>1</v>
      </c>
      <c r="IS19" s="21" t="b">
        <f t="shared" ref="IS19" si="71">+HJ19=CD19+CU19+DL19+EC19+ET19</f>
        <v>1</v>
      </c>
      <c r="IT19" s="21" t="b">
        <f t="shared" ref="IT19" si="72">+HK19=CE19+CV19+DM19+ED19+EU19</f>
        <v>1</v>
      </c>
      <c r="IU19" s="21" t="b">
        <f t="shared" ref="IU19" si="73">+HL19=CF19+CW19+DN19+EE19+EV19</f>
        <v>1</v>
      </c>
      <c r="IV19" s="21" t="b">
        <f t="shared" ref="IV19" si="74">+HM19=CG19+CX19+DO19+EF19+EW19</f>
        <v>1</v>
      </c>
      <c r="IW19" s="21" t="b">
        <f t="shared" ref="IW19" si="75">+HN19=CH19+CY19+DP19+EG19+EX19</f>
        <v>1</v>
      </c>
      <c r="IX19" s="21" t="b">
        <f t="shared" ref="IX19" si="76">+HO19=CI19+CZ19+DQ19+EH19+EY19</f>
        <v>1</v>
      </c>
      <c r="IY19" s="21" t="b">
        <f t="shared" ref="IY19" si="77">+HP19=CJ19+DA19+DR19+EI19+EZ19</f>
        <v>1</v>
      </c>
      <c r="IZ19" s="21" t="b">
        <f t="shared" ref="IZ19" si="78">+HQ19=CK19+DB19+DS19+EJ19+FA19</f>
        <v>1</v>
      </c>
      <c r="JB19" s="28"/>
    </row>
    <row r="20" spans="1:262" x14ac:dyDescent="0.25">
      <c r="A20" t="s">
        <v>91</v>
      </c>
      <c r="B20" s="2">
        <v>41912</v>
      </c>
      <c r="C20" s="22"/>
      <c r="D20" s="18"/>
      <c r="E20" s="2"/>
      <c r="F20" s="26">
        <v>4430.3363247409561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84.73809779695398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196.61125085901637</v>
      </c>
      <c r="AO20" s="26">
        <v>103.67491284647089</v>
      </c>
      <c r="AP20" s="26">
        <v>86.891815205598405</v>
      </c>
      <c r="AQ20" s="26">
        <v>17.680689619034379</v>
      </c>
      <c r="AR20" s="26">
        <v>23.78856837056987</v>
      </c>
      <c r="AS20" s="26">
        <v>70.252318669674338</v>
      </c>
      <c r="AT20" s="26">
        <v>107.05698292715874</v>
      </c>
      <c r="AU20" s="26">
        <v>52.813224000508889</v>
      </c>
      <c r="AV20" s="26">
        <v>143.41770170067724</v>
      </c>
      <c r="AW20" s="26">
        <v>57.769948264679854</v>
      </c>
      <c r="AX20" s="26">
        <v>73.322386862326439</v>
      </c>
      <c r="AY20" s="26">
        <v>104.88732201384467</v>
      </c>
      <c r="AZ20" s="26">
        <v>85.612481996512557</v>
      </c>
      <c r="BA20" s="26">
        <v>0.43714104974437079</v>
      </c>
      <c r="BB20" s="26">
        <v>9.9653688425345006</v>
      </c>
      <c r="BC20" s="26">
        <v>0</v>
      </c>
      <c r="BD20" s="10"/>
      <c r="BE20" s="26">
        <v>2208.4848089236721</v>
      </c>
      <c r="BF20" s="26">
        <v>1049.703697294284</v>
      </c>
      <c r="BG20" s="26">
        <v>1025.6424371564926</v>
      </c>
      <c r="BH20" s="26">
        <v>1065.4519027865699</v>
      </c>
      <c r="BI20" s="26">
        <v>1530.7189315053458</v>
      </c>
      <c r="BJ20" s="26">
        <v>1506.1892690731072</v>
      </c>
      <c r="BK20" s="26">
        <v>1112.1815317422984</v>
      </c>
      <c r="BL20" s="26">
        <v>974.75571816998502</v>
      </c>
      <c r="BM20" s="26">
        <v>814.26349352788293</v>
      </c>
      <c r="BN20" s="26">
        <v>314.16596840241669</v>
      </c>
      <c r="BO20" s="26">
        <v>215.00688758512146</v>
      </c>
      <c r="BP20" s="26">
        <v>225.73504276696625</v>
      </c>
      <c r="BQ20" s="26">
        <v>105.69615685905036</v>
      </c>
      <c r="BR20" s="26">
        <v>99.700788125499173</v>
      </c>
      <c r="BS20" s="26">
        <v>261.6415877378767</v>
      </c>
      <c r="BT20" s="26">
        <v>9.1456823754892085</v>
      </c>
      <c r="BU20" s="10"/>
      <c r="BV20" s="26">
        <v>4195.8226043697659</v>
      </c>
      <c r="BW20" s="26">
        <v>350.31749285637352</v>
      </c>
      <c r="BX20" s="26">
        <v>281.66636497747527</v>
      </c>
      <c r="BY20" s="26">
        <v>504.97844608212989</v>
      </c>
      <c r="BZ20" s="26">
        <v>767.41010038356217</v>
      </c>
      <c r="CA20" s="26">
        <v>624.13932846797331</v>
      </c>
      <c r="CB20" s="26">
        <v>589.5363470451133</v>
      </c>
      <c r="CC20" s="26">
        <v>2120.9528255128976</v>
      </c>
      <c r="CD20" s="26">
        <v>1581.8875970736669</v>
      </c>
      <c r="CE20" s="26">
        <v>-81.891782287498572</v>
      </c>
      <c r="CF20" s="26">
        <v>9.3735804238056289E-2</v>
      </c>
      <c r="CG20" s="26">
        <v>9.3735804238056289E-2</v>
      </c>
      <c r="CH20" s="26">
        <v>9.3735804238056289E-2</v>
      </c>
      <c r="CI20" s="26">
        <v>70.351435549738426</v>
      </c>
      <c r="CJ20" s="26">
        <v>1.0418763968270306E-5</v>
      </c>
      <c r="CK20" s="26">
        <v>1.0421616860923172E-5</v>
      </c>
      <c r="CL20" s="10"/>
      <c r="CM20" s="26">
        <v>200.01494799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39.631005019441446</v>
      </c>
      <c r="DE20" s="26">
        <v>3.0238093530838785</v>
      </c>
      <c r="DF20" s="26">
        <v>0.49791079231171448</v>
      </c>
      <c r="DG20" s="26">
        <v>7.6126063225723115</v>
      </c>
      <c r="DH20" s="26">
        <v>10.513841730845916</v>
      </c>
      <c r="DI20" s="26">
        <v>3.4129225900437818</v>
      </c>
      <c r="DJ20" s="26">
        <v>3.4534255616279861</v>
      </c>
      <c r="DK20" s="26">
        <v>23.2905526650426</v>
      </c>
      <c r="DL20" s="26">
        <v>16.417088882832005</v>
      </c>
      <c r="DM20" s="26">
        <v>4.8030709486375549E-2</v>
      </c>
      <c r="DN20" s="26">
        <v>8.6929659130912567E-4</v>
      </c>
      <c r="DO20" s="26">
        <v>8.6929659130912567E-4</v>
      </c>
      <c r="DP20" s="26">
        <v>8.6929659130912567E-4</v>
      </c>
      <c r="DQ20" s="26">
        <v>0.52970752465876836</v>
      </c>
      <c r="DR20" s="26">
        <v>0</v>
      </c>
      <c r="DS20" s="26">
        <v>0</v>
      </c>
      <c r="DT20" s="10"/>
      <c r="DU20" s="26">
        <v>394.59368605061366</v>
      </c>
      <c r="DV20" s="26">
        <v>125.04207363177714</v>
      </c>
      <c r="DW20" s="26">
        <v>242.86771750296566</v>
      </c>
      <c r="DX20" s="26">
        <v>920.02115434116172</v>
      </c>
      <c r="DY20" s="26">
        <v>348.10248810845877</v>
      </c>
      <c r="DZ20" s="26">
        <v>495.56439823154926</v>
      </c>
      <c r="EA20" s="26">
        <v>179.65736528210914</v>
      </c>
      <c r="EB20" s="26">
        <v>76.674205249828489</v>
      </c>
      <c r="EC20" s="26">
        <v>73.872942327400693</v>
      </c>
      <c r="ED20" s="26">
        <v>56.504072009963473</v>
      </c>
      <c r="EE20" s="26">
        <v>56.444302486727501</v>
      </c>
      <c r="EF20" s="26">
        <v>43.198430113102752</v>
      </c>
      <c r="EG20" s="26">
        <v>81.77376363779338</v>
      </c>
      <c r="EH20" s="26">
        <v>48.643109333595</v>
      </c>
      <c r="EI20" s="26">
        <v>12.466457473309498</v>
      </c>
      <c r="EJ20" s="26">
        <v>0</v>
      </c>
      <c r="EK20" s="10"/>
      <c r="EL20" s="26">
        <v>38.17888827083334</v>
      </c>
      <c r="EM20" s="26">
        <v>14.214112284722225</v>
      </c>
      <c r="EN20" s="26">
        <v>0.2855598958333333</v>
      </c>
      <c r="EO20" s="26">
        <v>47.114280404482635</v>
      </c>
      <c r="EP20" s="26">
        <v>99.977318559111112</v>
      </c>
      <c r="EQ20" s="26">
        <v>457.20314569800695</v>
      </c>
      <c r="ER20" s="26">
        <v>186.5590382569965</v>
      </c>
      <c r="ES20" s="26">
        <v>410.46569377088548</v>
      </c>
      <c r="ET20" s="26">
        <v>177.0767514375521</v>
      </c>
      <c r="EU20" s="26">
        <v>1215.2389765556459</v>
      </c>
      <c r="EV20" s="26">
        <v>584.88598774866318</v>
      </c>
      <c r="EW20" s="26">
        <v>795.57810906249995</v>
      </c>
      <c r="EX20" s="26">
        <v>747.16660906250002</v>
      </c>
      <c r="EY20" s="26">
        <v>0</v>
      </c>
      <c r="EZ20" s="26">
        <v>0</v>
      </c>
      <c r="FA20" s="26">
        <v>0</v>
      </c>
      <c r="FB20" s="10"/>
      <c r="FC20" s="26">
        <v>158.51899954457315</v>
      </c>
      <c r="FD20" s="26">
        <v>201.4023810044676</v>
      </c>
      <c r="FE20" s="26">
        <v>158.08179211000495</v>
      </c>
      <c r="FF20" s="26">
        <v>317.71446859890369</v>
      </c>
      <c r="FG20" s="26">
        <v>31.667766768047219</v>
      </c>
      <c r="FH20" s="26">
        <v>63.886852080949986</v>
      </c>
      <c r="FI20" s="26">
        <v>63.71229784029164</v>
      </c>
      <c r="FJ20" s="26">
        <v>63.71229784029164</v>
      </c>
      <c r="FK20" s="26">
        <v>63.71229784029164</v>
      </c>
      <c r="FL20" s="26">
        <v>947.67727741428314</v>
      </c>
      <c r="FM20" s="26">
        <v>521.9542641158472</v>
      </c>
      <c r="FN20" s="26">
        <v>478.51794270695837</v>
      </c>
      <c r="FO20" s="26">
        <v>731.42999357775</v>
      </c>
      <c r="FP20" s="26">
        <v>0</v>
      </c>
      <c r="FQ20" s="26">
        <v>0</v>
      </c>
      <c r="FR20" s="26">
        <v>0</v>
      </c>
      <c r="FS20" s="10"/>
      <c r="FT20" s="26">
        <v>1171.5846845649567</v>
      </c>
      <c r="FU20" s="26">
        <v>5.0458610096037146</v>
      </c>
      <c r="FV20" s="26">
        <v>481.47598827889391</v>
      </c>
      <c r="FW20" s="26">
        <v>817.47738332256313</v>
      </c>
      <c r="FX20" s="26">
        <v>41.266626301174178</v>
      </c>
      <c r="FY20" s="26">
        <v>209.90889935610284</v>
      </c>
      <c r="FZ20" s="26">
        <v>65.868343354583331</v>
      </c>
      <c r="GA20" s="26">
        <v>15.678484360138892</v>
      </c>
      <c r="GB20" s="26">
        <v>118.34674134333333</v>
      </c>
      <c r="GC20" s="26">
        <v>129.75252936111113</v>
      </c>
      <c r="GD20" s="26">
        <v>44.707926652777779</v>
      </c>
      <c r="GE20" s="26">
        <v>66.507265277777776</v>
      </c>
      <c r="GF20" s="26">
        <v>60.832282499999998</v>
      </c>
      <c r="GG20" s="26">
        <v>0</v>
      </c>
      <c r="GH20" s="26">
        <v>0</v>
      </c>
      <c r="GI20" s="26">
        <v>0</v>
      </c>
      <c r="GJ20" s="10"/>
      <c r="GK20" s="26">
        <v>6920.1704823205991</v>
      </c>
      <c r="GL20" s="26">
        <v>1153.378610140755</v>
      </c>
      <c r="GM20" s="26">
        <v>1112.5342523620911</v>
      </c>
      <c r="GN20" s="26">
        <v>1083.1325924056043</v>
      </c>
      <c r="GO20" s="26">
        <v>1554.5074998759158</v>
      </c>
      <c r="GP20" s="26">
        <v>1576.4415877427816</v>
      </c>
      <c r="GQ20" s="26">
        <v>1219.2385146694571</v>
      </c>
      <c r="GR20" s="26">
        <v>1027.568942170494</v>
      </c>
      <c r="GS20" s="26">
        <v>957.68119522856023</v>
      </c>
      <c r="GT20" s="26">
        <v>371.93591666709654</v>
      </c>
      <c r="GU20" s="26">
        <v>288.32927444744792</v>
      </c>
      <c r="GV20" s="26">
        <v>330.62236478081093</v>
      </c>
      <c r="GW20" s="26">
        <v>191.30863885556292</v>
      </c>
      <c r="GX20" s="26">
        <v>100.13792917524354</v>
      </c>
      <c r="GY20" s="26">
        <v>271.60695658041118</v>
      </c>
      <c r="GZ20" s="26">
        <v>9.1456823754892085</v>
      </c>
      <c r="HA20" s="2"/>
      <c r="HB20" s="26">
        <v>4868.2411317006545</v>
      </c>
      <c r="HC20" s="26">
        <v>492.59748812595677</v>
      </c>
      <c r="HD20" s="26">
        <v>525.31755316858596</v>
      </c>
      <c r="HE20" s="26">
        <v>1479.7264871503464</v>
      </c>
      <c r="HF20" s="26">
        <v>1226.0037487819779</v>
      </c>
      <c r="HG20" s="26">
        <v>1580.3197949875732</v>
      </c>
      <c r="HH20" s="26">
        <v>959.20617614584694</v>
      </c>
      <c r="HI20" s="26">
        <v>2631.383277198654</v>
      </c>
      <c r="HJ20" s="26">
        <v>1849.2543797214519</v>
      </c>
      <c r="HK20" s="26">
        <v>1189.8992969875972</v>
      </c>
      <c r="HL20" s="26">
        <v>641.42489533622006</v>
      </c>
      <c r="HM20" s="26">
        <v>838.87114427643201</v>
      </c>
      <c r="HN20" s="26">
        <v>829.03497780112275</v>
      </c>
      <c r="HO20" s="26">
        <v>119.52425240799221</v>
      </c>
      <c r="HP20" s="26">
        <v>12.466467892073467</v>
      </c>
      <c r="HQ20" s="26">
        <v>1.0421616860923172E-5</v>
      </c>
      <c r="HR20" s="2"/>
      <c r="HT20" s="21" t="b">
        <f t="shared" ref="HT20:HT33" si="79">+GK20=F20+W20+AN20+BE20</f>
        <v>1</v>
      </c>
      <c r="HU20" s="21" t="b">
        <f t="shared" ref="HU20:HU33" si="80">+GL20=G20+X20+AO20+BF20</f>
        <v>1</v>
      </c>
      <c r="HV20" s="21" t="b">
        <f t="shared" ref="HV20:HV33" si="81">+GM20=H20+Y20+AP20+BG20</f>
        <v>1</v>
      </c>
      <c r="HW20" s="21" t="b">
        <f t="shared" ref="HW20:HW33" si="82">+GN20=I20+Z20+AQ20+BH20</f>
        <v>1</v>
      </c>
      <c r="HX20" s="21" t="b">
        <f t="shared" ref="HX20:HX33" si="83">+GO20=J20+AA20+AR20+BI20</f>
        <v>1</v>
      </c>
      <c r="HY20" s="21" t="b">
        <f t="shared" ref="HY20:HY33" si="84">+GP20=K20+AB20+AS20+BJ20</f>
        <v>1</v>
      </c>
      <c r="HZ20" s="21" t="b">
        <f t="shared" ref="HZ20:HZ33" si="85">+GQ20=L20+AC20+AT20+BK20</f>
        <v>1</v>
      </c>
      <c r="IA20" s="21" t="b">
        <f t="shared" ref="IA20:IA33" si="86">+GR20=M20+AD20+AU20+BL20</f>
        <v>1</v>
      </c>
      <c r="IB20" s="21" t="b">
        <f t="shared" ref="IB20:IB33" si="87">+GS20=N20+AE20+AV20+BM20</f>
        <v>1</v>
      </c>
      <c r="IC20" s="21" t="b">
        <f t="shared" ref="IC20:IC33" si="88">+GT20=O20+AF20+AW20+BN20</f>
        <v>1</v>
      </c>
      <c r="ID20" s="21" t="b">
        <f t="shared" ref="ID20:ID33" si="89">+GU20=P20+AG20+AX20+BO20</f>
        <v>1</v>
      </c>
      <c r="IE20" s="21" t="b">
        <f t="shared" ref="IE20:IE33" si="90">+GV20=Q20+AH20+AY20+BP20</f>
        <v>1</v>
      </c>
      <c r="IF20" s="21" t="b">
        <f t="shared" ref="IF20:IF33" si="91">+GW20=R20+AI20+AZ20+BQ20</f>
        <v>1</v>
      </c>
      <c r="IG20" s="21" t="b">
        <f t="shared" ref="IG20:IG33" si="92">+GX20=S20+AJ20+BA20+BR20</f>
        <v>1</v>
      </c>
      <c r="IH20" s="21" t="b">
        <f t="shared" ref="IH20:IH33" si="93">+GY20=T20+AK20+BB20+BS20</f>
        <v>1</v>
      </c>
      <c r="II20" s="21" t="b">
        <f t="shared" ref="II20:II33" si="94">+GZ20=U20+AL20+BC20+BT20</f>
        <v>1</v>
      </c>
      <c r="IK20" s="21" t="b">
        <f t="shared" ref="IK20:IK33" si="95">+HB20=BV20+CM20+DD20+DU20+EL20</f>
        <v>1</v>
      </c>
      <c r="IL20" s="21" t="b">
        <f t="shared" ref="IL20:IL33" si="96">+HC20=BW20+CN20+DE20+DV20+EM20</f>
        <v>1</v>
      </c>
      <c r="IM20" s="21" t="b">
        <f t="shared" ref="IM20:IM33" si="97">+HD20=BX20+CO20+DF20+DW20+EN20</f>
        <v>1</v>
      </c>
      <c r="IN20" s="21" t="b">
        <f t="shared" ref="IN20:IN33" si="98">+HE20=BY20+CP20+DG20+DX20+EO20</f>
        <v>1</v>
      </c>
      <c r="IO20" s="21" t="b">
        <f t="shared" ref="IO20:IO33" si="99">+HF20=BZ20+CQ20+DH20+DY20+EP20</f>
        <v>1</v>
      </c>
      <c r="IP20" s="21" t="b">
        <f t="shared" ref="IP20:IP33" si="100">+HG20=CA20+CR20+DI20+DZ20+EQ20</f>
        <v>1</v>
      </c>
      <c r="IQ20" s="21" t="b">
        <f t="shared" ref="IQ20:IQ33" si="101">+HH20=CB20+CS20+DJ20+EA20+ER20</f>
        <v>1</v>
      </c>
      <c r="IR20" s="21" t="b">
        <f t="shared" ref="IR20:IR33" si="102">+HI20=CC20+CT20+DK20+EB20+ES20</f>
        <v>1</v>
      </c>
      <c r="IS20" s="21" t="b">
        <f t="shared" ref="IS20:IS33" si="103">+HJ20=CD20+CU20+DL20+EC20+ET20</f>
        <v>1</v>
      </c>
      <c r="IT20" s="21" t="b">
        <f t="shared" ref="IT20:IT33" si="104">+HK20=CE20+CV20+DM20+ED20+EU20</f>
        <v>1</v>
      </c>
      <c r="IU20" s="21" t="b">
        <f t="shared" ref="IU20:IU33" si="105">+HL20=CF20+CW20+DN20+EE20+EV20</f>
        <v>1</v>
      </c>
      <c r="IV20" s="21" t="b">
        <f t="shared" ref="IV20:IV33" si="106">+HM20=CG20+CX20+DO20+EF20+EW20</f>
        <v>1</v>
      </c>
      <c r="IW20" s="21" t="b">
        <f t="shared" ref="IW20:IW33" si="107">+HN20=CH20+CY20+DP20+EG20+EX20</f>
        <v>1</v>
      </c>
      <c r="IX20" s="21" t="b">
        <f t="shared" ref="IX20:IX33" si="108">+HO20=CI20+CZ20+DQ20+EH20+EY20</f>
        <v>1</v>
      </c>
      <c r="IY20" s="21" t="b">
        <f t="shared" ref="IY20:IY33" si="109">+HP20=CJ20+DA20+DR20+EI20+EZ20</f>
        <v>1</v>
      </c>
      <c r="IZ20" s="21" t="b">
        <f t="shared" ref="IZ20:IZ33" si="110">+HQ20=CK20+DB20+DS20+EJ20+FA20</f>
        <v>1</v>
      </c>
    </row>
    <row r="21" spans="1:262" x14ac:dyDescent="0.25">
      <c r="A21" t="s">
        <v>78</v>
      </c>
      <c r="B21" s="2">
        <v>42004</v>
      </c>
      <c r="C21" s="22"/>
      <c r="D21" s="18"/>
      <c r="E21" s="2"/>
      <c r="F21" s="26">
        <v>4456.4166087945941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40.348565962037426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93.74190579839663</v>
      </c>
      <c r="AO21" s="26">
        <v>26.193565760136831</v>
      </c>
      <c r="AP21" s="26">
        <v>4.1292558489419005</v>
      </c>
      <c r="AQ21" s="26">
        <v>152.6662432833499</v>
      </c>
      <c r="AR21" s="26">
        <v>81.793888463293797</v>
      </c>
      <c r="AS21" s="26">
        <v>6.5597833709742313</v>
      </c>
      <c r="AT21" s="26">
        <v>109.43171134282618</v>
      </c>
      <c r="AU21" s="26">
        <v>49.496151540397015</v>
      </c>
      <c r="AV21" s="26">
        <v>198.34759292394605</v>
      </c>
      <c r="AW21" s="26">
        <v>36.551115606083258</v>
      </c>
      <c r="AX21" s="26">
        <v>43.246426111132777</v>
      </c>
      <c r="AY21" s="26">
        <v>101.20252709369946</v>
      </c>
      <c r="AZ21" s="26">
        <v>85.612481996512557</v>
      </c>
      <c r="BA21" s="26">
        <v>0.43714104974437079</v>
      </c>
      <c r="BB21" s="26">
        <v>9.8566807673248356</v>
      </c>
      <c r="BC21" s="26">
        <v>0</v>
      </c>
      <c r="BD21" s="10"/>
      <c r="BE21" s="26">
        <v>1653.8095225838003</v>
      </c>
      <c r="BF21" s="26">
        <v>1205.6854067298079</v>
      </c>
      <c r="BG21" s="26">
        <v>984.9323620775989</v>
      </c>
      <c r="BH21" s="26">
        <v>1173.5858541848656</v>
      </c>
      <c r="BI21" s="26">
        <v>1670.5345856255797</v>
      </c>
      <c r="BJ21" s="26">
        <v>1529.5784460126108</v>
      </c>
      <c r="BK21" s="26">
        <v>1194.3407999340468</v>
      </c>
      <c r="BL21" s="26">
        <v>1198.6260191612521</v>
      </c>
      <c r="BM21" s="26">
        <v>991.92540387680128</v>
      </c>
      <c r="BN21" s="26">
        <v>309.05787333338668</v>
      </c>
      <c r="BO21" s="26">
        <v>231.38681776901237</v>
      </c>
      <c r="BP21" s="26">
        <v>331.75789200969592</v>
      </c>
      <c r="BQ21" s="26">
        <v>105.67724628099928</v>
      </c>
      <c r="BR21" s="26">
        <v>92.96741670717627</v>
      </c>
      <c r="BS21" s="26">
        <v>273.91390829647838</v>
      </c>
      <c r="BT21" s="26">
        <v>7.9748326352594763</v>
      </c>
      <c r="BU21" s="10"/>
      <c r="BV21" s="26">
        <v>4434.3627502684158</v>
      </c>
      <c r="BW21" s="26">
        <v>382.1781029944031</v>
      </c>
      <c r="BX21" s="26">
        <v>300.6140971814188</v>
      </c>
      <c r="BY21" s="26">
        <v>490.16438945324057</v>
      </c>
      <c r="BZ21" s="26">
        <v>753.90700088994458</v>
      </c>
      <c r="CA21" s="26">
        <v>633.23096954653101</v>
      </c>
      <c r="CB21" s="26">
        <v>596.97272975422527</v>
      </c>
      <c r="CC21" s="26">
        <v>2181.4496558778515</v>
      </c>
      <c r="CD21" s="26">
        <v>1623.1392687500361</v>
      </c>
      <c r="CE21" s="26">
        <v>-113.43757095171352</v>
      </c>
      <c r="CF21" s="26">
        <v>9.5021594577285262E-2</v>
      </c>
      <c r="CG21" s="26">
        <v>9.5021594577285262E-2</v>
      </c>
      <c r="CH21" s="26">
        <v>9.5021594577285262E-2</v>
      </c>
      <c r="CI21" s="26">
        <v>71.316469140355892</v>
      </c>
      <c r="CJ21" s="26">
        <v>1.0418763968270306E-5</v>
      </c>
      <c r="CK21" s="26">
        <v>1.0421616860923172E-5</v>
      </c>
      <c r="CL21" s="10"/>
      <c r="CM21" s="26">
        <v>200.04981118444445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44.49976078059381</v>
      </c>
      <c r="DE21" s="26">
        <v>2.8329677670149258</v>
      </c>
      <c r="DF21" s="26">
        <v>2.9491409073112966</v>
      </c>
      <c r="DG21" s="26">
        <v>0.65380792890711759</v>
      </c>
      <c r="DH21" s="26">
        <v>11.606635744992539</v>
      </c>
      <c r="DI21" s="26">
        <v>3.6342590168091951</v>
      </c>
      <c r="DJ21" s="26">
        <v>3.7409120436090304</v>
      </c>
      <c r="DK21" s="26">
        <v>23.502038044738367</v>
      </c>
      <c r="DL21" s="26">
        <v>16.628797698662115</v>
      </c>
      <c r="DM21" s="26">
        <v>8.5107772071607204E-2</v>
      </c>
      <c r="DN21" s="26">
        <v>8.6929659130912567E-4</v>
      </c>
      <c r="DO21" s="26">
        <v>8.6929659130912567E-4</v>
      </c>
      <c r="DP21" s="26">
        <v>8.6929659130912567E-4</v>
      </c>
      <c r="DQ21" s="26">
        <v>0.52948841428506843</v>
      </c>
      <c r="DR21" s="26">
        <v>0</v>
      </c>
      <c r="DS21" s="26">
        <v>0</v>
      </c>
      <c r="DT21" s="10"/>
      <c r="DU21" s="26">
        <v>351.08528053233522</v>
      </c>
      <c r="DV21" s="26">
        <v>432.05498803037011</v>
      </c>
      <c r="DW21" s="26">
        <v>198.93073220936745</v>
      </c>
      <c r="DX21" s="26">
        <v>333.75430394532242</v>
      </c>
      <c r="DY21" s="26">
        <v>402.09625061917723</v>
      </c>
      <c r="DZ21" s="26">
        <v>531.79110009876808</v>
      </c>
      <c r="EA21" s="26">
        <v>182.12112315797836</v>
      </c>
      <c r="EB21" s="26">
        <v>229.36255430821424</v>
      </c>
      <c r="EC21" s="26">
        <v>101.23426087844926</v>
      </c>
      <c r="ED21" s="26">
        <v>61.794413017408147</v>
      </c>
      <c r="EE21" s="26">
        <v>61.71983108948011</v>
      </c>
      <c r="EF21" s="26">
        <v>35.263916515948722</v>
      </c>
      <c r="EG21" s="26">
        <v>87.056238647420599</v>
      </c>
      <c r="EH21" s="26">
        <v>108.42595673241408</v>
      </c>
      <c r="EI21" s="26">
        <v>27.559600182331391</v>
      </c>
      <c r="EJ21" s="26">
        <v>0</v>
      </c>
      <c r="EK21" s="10"/>
      <c r="EL21" s="26">
        <v>3.5212444166666668</v>
      </c>
      <c r="EM21" s="26">
        <v>1.644497064236111</v>
      </c>
      <c r="EN21" s="26">
        <v>41.948538923579854</v>
      </c>
      <c r="EO21" s="26">
        <v>52.215882982638888</v>
      </c>
      <c r="EP21" s="26">
        <v>100.43999602786111</v>
      </c>
      <c r="EQ21" s="26">
        <v>457.94065054522912</v>
      </c>
      <c r="ER21" s="26">
        <v>183.49389247921874</v>
      </c>
      <c r="ES21" s="26">
        <v>410.46569377088548</v>
      </c>
      <c r="ET21" s="26">
        <v>427.0767514375521</v>
      </c>
      <c r="EU21" s="26">
        <v>952.78064322231251</v>
      </c>
      <c r="EV21" s="26">
        <v>584.88598774866318</v>
      </c>
      <c r="EW21" s="26">
        <v>773.16060906250004</v>
      </c>
      <c r="EX21" s="26">
        <v>731.69152287500003</v>
      </c>
      <c r="EY21" s="26">
        <v>0</v>
      </c>
      <c r="EZ21" s="26">
        <v>0</v>
      </c>
      <c r="FA21" s="26">
        <v>0</v>
      </c>
      <c r="FB21" s="10"/>
      <c r="FC21" s="26">
        <v>153.25330670508811</v>
      </c>
      <c r="FD21" s="26">
        <v>212.64992686665067</v>
      </c>
      <c r="FE21" s="26">
        <v>352.03264519144795</v>
      </c>
      <c r="FF21" s="26">
        <v>105.30899673212102</v>
      </c>
      <c r="FG21" s="26">
        <v>31.698132643602769</v>
      </c>
      <c r="FH21" s="26">
        <v>63.886852080949986</v>
      </c>
      <c r="FI21" s="26">
        <v>63.71229784029164</v>
      </c>
      <c r="FJ21" s="26">
        <v>63.71229784029164</v>
      </c>
      <c r="FK21" s="26">
        <v>63.71229784029164</v>
      </c>
      <c r="FL21" s="26">
        <v>947.67727741428314</v>
      </c>
      <c r="FM21" s="26">
        <v>516.39730888918064</v>
      </c>
      <c r="FN21" s="26">
        <v>478.51794270695837</v>
      </c>
      <c r="FO21" s="26">
        <v>731.42999357775</v>
      </c>
      <c r="FP21" s="26">
        <v>0</v>
      </c>
      <c r="FQ21" s="26">
        <v>0</v>
      </c>
      <c r="FR21" s="26">
        <v>0</v>
      </c>
      <c r="FS21" s="10"/>
      <c r="FT21" s="26">
        <v>457.40606096849638</v>
      </c>
      <c r="FU21" s="26">
        <v>4.9312330142875203</v>
      </c>
      <c r="FV21" s="26">
        <v>1282.9875543301666</v>
      </c>
      <c r="FW21" s="26">
        <v>732.65225287322971</v>
      </c>
      <c r="FX21" s="26">
        <v>73.449428625231533</v>
      </c>
      <c r="FY21" s="26">
        <v>164.28539522190695</v>
      </c>
      <c r="FZ21" s="26">
        <v>68.600826754583338</v>
      </c>
      <c r="GA21" s="26">
        <v>12.635336860138889</v>
      </c>
      <c r="GB21" s="26">
        <v>162.95012860991665</v>
      </c>
      <c r="GC21" s="26">
        <v>102.82462758333334</v>
      </c>
      <c r="GD21" s="26">
        <v>26.083176513888887</v>
      </c>
      <c r="GE21" s="26">
        <v>66.24580402777778</v>
      </c>
      <c r="GF21" s="26">
        <v>60.295886111111109</v>
      </c>
      <c r="GG21" s="26">
        <v>0</v>
      </c>
      <c r="GH21" s="26">
        <v>0</v>
      </c>
      <c r="GI21" s="26">
        <v>0</v>
      </c>
      <c r="GJ21" s="10"/>
      <c r="GK21" s="26">
        <v>6244.3166031388291</v>
      </c>
      <c r="GL21" s="26">
        <v>1231.8789724899448</v>
      </c>
      <c r="GM21" s="26">
        <v>989.06161792654075</v>
      </c>
      <c r="GN21" s="26">
        <v>1326.2520974682157</v>
      </c>
      <c r="GO21" s="26">
        <v>1752.3284740888735</v>
      </c>
      <c r="GP21" s="26">
        <v>1536.138229383585</v>
      </c>
      <c r="GQ21" s="26">
        <v>1303.772511276873</v>
      </c>
      <c r="GR21" s="26">
        <v>1248.1221707016491</v>
      </c>
      <c r="GS21" s="26">
        <v>1190.2729968007473</v>
      </c>
      <c r="GT21" s="26">
        <v>345.60898893946995</v>
      </c>
      <c r="GU21" s="26">
        <v>274.63324388014513</v>
      </c>
      <c r="GV21" s="26">
        <v>432.9604191033954</v>
      </c>
      <c r="GW21" s="26">
        <v>191.28972827751184</v>
      </c>
      <c r="GX21" s="26">
        <v>93.404557756920639</v>
      </c>
      <c r="GY21" s="26">
        <v>283.77058906380324</v>
      </c>
      <c r="GZ21" s="26">
        <v>7.9748326352594763</v>
      </c>
      <c r="HA21" s="2"/>
      <c r="HB21" s="26">
        <v>5033.5188471824549</v>
      </c>
      <c r="HC21" s="26">
        <v>818.71055585602426</v>
      </c>
      <c r="HD21" s="26">
        <v>544.44250922167737</v>
      </c>
      <c r="HE21" s="26">
        <v>876.78838431010888</v>
      </c>
      <c r="HF21" s="26">
        <v>1268.0498832819753</v>
      </c>
      <c r="HG21" s="26">
        <v>1626.5969792073374</v>
      </c>
      <c r="HH21" s="26">
        <v>966.32865743503135</v>
      </c>
      <c r="HI21" s="26">
        <v>2844.77994200169</v>
      </c>
      <c r="HJ21" s="26">
        <v>2168.0790787646997</v>
      </c>
      <c r="HK21" s="26">
        <v>901.22259306007868</v>
      </c>
      <c r="HL21" s="26">
        <v>646.70170972931191</v>
      </c>
      <c r="HM21" s="26">
        <v>808.52041646961732</v>
      </c>
      <c r="HN21" s="26">
        <v>818.84365241358921</v>
      </c>
      <c r="HO21" s="26">
        <v>180.27191428705504</v>
      </c>
      <c r="HP21" s="26">
        <v>27.559610601095358</v>
      </c>
      <c r="HQ21" s="26">
        <v>1.0421616860923172E-5</v>
      </c>
      <c r="HR21" s="2"/>
      <c r="HT21" s="21" t="b">
        <f t="shared" si="79"/>
        <v>1</v>
      </c>
      <c r="HU21" s="21" t="b">
        <f t="shared" si="80"/>
        <v>1</v>
      </c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K21" s="21" t="b">
        <f t="shared" si="95"/>
        <v>1</v>
      </c>
      <c r="IL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</row>
    <row r="22" spans="1:262" x14ac:dyDescent="0.25">
      <c r="A22" t="s">
        <v>79</v>
      </c>
      <c r="B22" s="2">
        <v>42094</v>
      </c>
      <c r="C22" s="22"/>
      <c r="D22" s="18"/>
      <c r="E22" s="11"/>
      <c r="F22" s="26">
        <v>4822.6300643268105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31.006024890555558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124.50698381692158</v>
      </c>
      <c r="AO22" s="26">
        <v>78.868890687120071</v>
      </c>
      <c r="AP22" s="26">
        <v>71.715932724207931</v>
      </c>
      <c r="AQ22" s="26">
        <v>30.38495511831308</v>
      </c>
      <c r="AR22" s="26">
        <v>66.733248237015971</v>
      </c>
      <c r="AS22" s="26">
        <v>86.004837413381352</v>
      </c>
      <c r="AT22" s="26">
        <v>44.291426852875233</v>
      </c>
      <c r="AU22" s="26">
        <v>159.34530577176457</v>
      </c>
      <c r="AV22" s="26">
        <v>74.665895281670245</v>
      </c>
      <c r="AW22" s="26">
        <v>35.789883783310962</v>
      </c>
      <c r="AX22" s="26">
        <v>82.464656973394852</v>
      </c>
      <c r="AY22" s="26">
        <v>82.987054546017887</v>
      </c>
      <c r="AZ22" s="26">
        <v>63.067433726371007</v>
      </c>
      <c r="BA22" s="26">
        <v>0.43594667529151726</v>
      </c>
      <c r="BB22" s="26">
        <v>9.7491870665680231</v>
      </c>
      <c r="BC22" s="26">
        <v>0</v>
      </c>
      <c r="BD22" s="10"/>
      <c r="BE22" s="26">
        <v>1778.9585751571562</v>
      </c>
      <c r="BF22" s="26">
        <v>1099.4703783212128</v>
      </c>
      <c r="BG22" s="26">
        <v>1098.3460960802531</v>
      </c>
      <c r="BH22" s="26">
        <v>1435.4899646083604</v>
      </c>
      <c r="BI22" s="26">
        <v>1349.5719137471258</v>
      </c>
      <c r="BJ22" s="26">
        <v>1506.8656028011915</v>
      </c>
      <c r="BK22" s="26">
        <v>1294.3647638199636</v>
      </c>
      <c r="BL22" s="26">
        <v>1546.6444267113613</v>
      </c>
      <c r="BM22" s="26">
        <v>774.3708861566414</v>
      </c>
      <c r="BN22" s="26">
        <v>318.85418437275666</v>
      </c>
      <c r="BO22" s="26">
        <v>254.60384381824053</v>
      </c>
      <c r="BP22" s="26">
        <v>425.61066999550025</v>
      </c>
      <c r="BQ22" s="26">
        <v>93.218799926285769</v>
      </c>
      <c r="BR22" s="26">
        <v>92.282780288683085</v>
      </c>
      <c r="BS22" s="26">
        <v>288.32139494100403</v>
      </c>
      <c r="BT22" s="26">
        <v>6.8692944745060167</v>
      </c>
      <c r="BU22" s="10"/>
      <c r="BV22" s="26">
        <v>4426.9776598030794</v>
      </c>
      <c r="BW22" s="26">
        <v>412.98643879128338</v>
      </c>
      <c r="BX22" s="26">
        <v>350.81724363548301</v>
      </c>
      <c r="BY22" s="26">
        <v>643.69592332036518</v>
      </c>
      <c r="BZ22" s="26">
        <v>617.82474833132926</v>
      </c>
      <c r="CA22" s="26">
        <v>660.27471721721054</v>
      </c>
      <c r="CB22" s="26">
        <v>646.35408220300337</v>
      </c>
      <c r="CC22" s="26">
        <v>2253.0024294350396</v>
      </c>
      <c r="CD22" s="26">
        <v>1672.2592623737103</v>
      </c>
      <c r="CE22" s="26">
        <v>-144.99960100017111</v>
      </c>
      <c r="CF22" s="26">
        <v>9.6573212228897559E-2</v>
      </c>
      <c r="CG22" s="26">
        <v>9.6573212228897559E-2</v>
      </c>
      <c r="CH22" s="26">
        <v>9.6573215081790217E-2</v>
      </c>
      <c r="CI22" s="26">
        <v>72.481016037504403</v>
      </c>
      <c r="CJ22" s="26">
        <v>1.0418763968270308E-5</v>
      </c>
      <c r="CK22" s="26">
        <v>1.0421616860923172E-5</v>
      </c>
      <c r="CL22" s="10"/>
      <c r="CM22" s="26">
        <v>200.0717695177778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43.897885239685834</v>
      </c>
      <c r="DE22" s="26">
        <v>2.6920753943144784</v>
      </c>
      <c r="DF22" s="26">
        <v>3.2378639074911346</v>
      </c>
      <c r="DG22" s="26">
        <v>10.590450522032793</v>
      </c>
      <c r="DH22" s="26">
        <v>3.0464920572694409</v>
      </c>
      <c r="DI22" s="26">
        <v>3.9161068896601967</v>
      </c>
      <c r="DJ22" s="26">
        <v>4.0959880869911398</v>
      </c>
      <c r="DK22" s="26">
        <v>23.772422998457639</v>
      </c>
      <c r="DL22" s="26">
        <v>16.898746218121783</v>
      </c>
      <c r="DM22" s="26">
        <v>0.13215442233709304</v>
      </c>
      <c r="DN22" s="26">
        <v>8.6929659130912567E-4</v>
      </c>
      <c r="DO22" s="26">
        <v>8.6929659130912567E-4</v>
      </c>
      <c r="DP22" s="26">
        <v>8.7167822580586313E-4</v>
      </c>
      <c r="DQ22" s="26">
        <v>0.52927168554586546</v>
      </c>
      <c r="DR22" s="26">
        <v>0</v>
      </c>
      <c r="DS22" s="26">
        <v>0</v>
      </c>
      <c r="DT22" s="10"/>
      <c r="DU22" s="26">
        <v>214.14312191115241</v>
      </c>
      <c r="DV22" s="26">
        <v>40.115683601460731</v>
      </c>
      <c r="DW22" s="26">
        <v>139.75618631712535</v>
      </c>
      <c r="DX22" s="26">
        <v>549.25767600473262</v>
      </c>
      <c r="DY22" s="26">
        <v>388.98499684583993</v>
      </c>
      <c r="DZ22" s="26">
        <v>437.28215194871285</v>
      </c>
      <c r="EA22" s="26">
        <v>193.07796189970577</v>
      </c>
      <c r="EB22" s="26">
        <v>270.42114894409082</v>
      </c>
      <c r="EC22" s="26">
        <v>138.91819733489115</v>
      </c>
      <c r="ED22" s="26">
        <v>78.061199936425751</v>
      </c>
      <c r="EE22" s="26">
        <v>78.027044602291966</v>
      </c>
      <c r="EF22" s="26">
        <v>38.357077240546353</v>
      </c>
      <c r="EG22" s="26">
        <v>103.40180597528733</v>
      </c>
      <c r="EH22" s="26">
        <v>177.22596400056869</v>
      </c>
      <c r="EI22" s="26">
        <v>64.417457925348927</v>
      </c>
      <c r="EJ22" s="26">
        <v>11.111111111111111</v>
      </c>
      <c r="EK22" s="10"/>
      <c r="EL22" s="26">
        <v>37.965601000000007</v>
      </c>
      <c r="EM22" s="26">
        <v>13.961584065972222</v>
      </c>
      <c r="EN22" s="26">
        <v>0.28869791666666667</v>
      </c>
      <c r="EO22" s="26">
        <v>47.761435576472223</v>
      </c>
      <c r="EP22" s="26">
        <v>315.31831452778476</v>
      </c>
      <c r="EQ22" s="26">
        <v>236.61283394796874</v>
      </c>
      <c r="ER22" s="26">
        <v>413.64789247921874</v>
      </c>
      <c r="ES22" s="26">
        <v>177.0767514375521</v>
      </c>
      <c r="ET22" s="26">
        <v>427.28712157647919</v>
      </c>
      <c r="EU22" s="26">
        <v>930.95082863894095</v>
      </c>
      <c r="EV22" s="26">
        <v>568.42843704730558</v>
      </c>
      <c r="EW22" s="26">
        <v>773.16060906250004</v>
      </c>
      <c r="EX22" s="26">
        <v>731.69152287500003</v>
      </c>
      <c r="EY22" s="26">
        <v>0</v>
      </c>
      <c r="EZ22" s="26">
        <v>0</v>
      </c>
      <c r="FA22" s="26">
        <v>0</v>
      </c>
      <c r="FB22" s="10"/>
      <c r="FC22" s="26">
        <v>133.61608203735082</v>
      </c>
      <c r="FD22" s="26">
        <v>201.51235234717879</v>
      </c>
      <c r="FE22" s="26">
        <v>158.02441740999959</v>
      </c>
      <c r="FF22" s="26">
        <v>317.76444403113771</v>
      </c>
      <c r="FG22" s="26">
        <v>32.058892183355553</v>
      </c>
      <c r="FH22" s="26">
        <v>63.872490969838871</v>
      </c>
      <c r="FI22" s="26">
        <v>63.71229784029164</v>
      </c>
      <c r="FJ22" s="26">
        <v>63.71229784029164</v>
      </c>
      <c r="FK22" s="26">
        <v>63.726658951402754</v>
      </c>
      <c r="FL22" s="26">
        <v>937.1808860809499</v>
      </c>
      <c r="FM22" s="26">
        <v>516.39730888918064</v>
      </c>
      <c r="FN22" s="26">
        <v>472.82252604029168</v>
      </c>
      <c r="FO22" s="26">
        <v>721.11986462106108</v>
      </c>
      <c r="FP22" s="26">
        <v>0</v>
      </c>
      <c r="FQ22" s="26">
        <v>0</v>
      </c>
      <c r="FR22" s="26">
        <v>0</v>
      </c>
      <c r="FS22" s="10"/>
      <c r="FT22" s="26">
        <v>1172.850847089559</v>
      </c>
      <c r="FU22" s="26">
        <v>5.0930933227729414</v>
      </c>
      <c r="FV22" s="26">
        <v>481.81424493401846</v>
      </c>
      <c r="FW22" s="26">
        <v>829.58452118241155</v>
      </c>
      <c r="FX22" s="26">
        <v>55.73225257824172</v>
      </c>
      <c r="FY22" s="26">
        <v>201.66355382516664</v>
      </c>
      <c r="FZ22" s="26">
        <v>24.742916026805556</v>
      </c>
      <c r="GA22" s="26">
        <v>117.82517227680553</v>
      </c>
      <c r="GB22" s="26">
        <v>57.273066068250003</v>
      </c>
      <c r="GC22" s="26">
        <v>102.3801404861111</v>
      </c>
      <c r="GD22" s="26">
        <v>50.938008861111115</v>
      </c>
      <c r="GE22" s="26">
        <v>56.598973749999999</v>
      </c>
      <c r="GF22" s="26">
        <v>44.448388333333334</v>
      </c>
      <c r="GG22" s="26">
        <v>0</v>
      </c>
      <c r="GH22" s="26">
        <v>0</v>
      </c>
      <c r="GI22" s="26">
        <v>0</v>
      </c>
      <c r="GJ22" s="10"/>
      <c r="GK22" s="26">
        <v>6757.1016481914448</v>
      </c>
      <c r="GL22" s="26">
        <v>1178.3392690083328</v>
      </c>
      <c r="GM22" s="26">
        <v>1170.0620288044611</v>
      </c>
      <c r="GN22" s="26">
        <v>1465.8749197266734</v>
      </c>
      <c r="GO22" s="26">
        <v>1416.3051619841417</v>
      </c>
      <c r="GP22" s="26">
        <v>1592.8704402145729</v>
      </c>
      <c r="GQ22" s="26">
        <v>1338.6561906728389</v>
      </c>
      <c r="GR22" s="26">
        <v>1705.9897324831259</v>
      </c>
      <c r="GS22" s="26">
        <v>849.03678143831166</v>
      </c>
      <c r="GT22" s="26">
        <v>354.64406815606765</v>
      </c>
      <c r="GU22" s="26">
        <v>337.06850079163542</v>
      </c>
      <c r="GV22" s="26">
        <v>508.59772454151812</v>
      </c>
      <c r="GW22" s="26">
        <v>156.28623365265679</v>
      </c>
      <c r="GX22" s="26">
        <v>92.718726963974603</v>
      </c>
      <c r="GY22" s="26">
        <v>298.07058200757206</v>
      </c>
      <c r="GZ22" s="26">
        <v>6.8692944745060167</v>
      </c>
      <c r="HA22" s="2"/>
      <c r="HB22" s="26">
        <v>4923.0560374716961</v>
      </c>
      <c r="HC22" s="26">
        <v>469.75578185303078</v>
      </c>
      <c r="HD22" s="26">
        <v>494.09999177676616</v>
      </c>
      <c r="HE22" s="26">
        <v>1251.3054854236029</v>
      </c>
      <c r="HF22" s="26">
        <v>1325.1745517622235</v>
      </c>
      <c r="HG22" s="26">
        <v>1338.0858100035523</v>
      </c>
      <c r="HH22" s="26">
        <v>1257.1759246689189</v>
      </c>
      <c r="HI22" s="26">
        <v>2724.2727528151404</v>
      </c>
      <c r="HJ22" s="26">
        <v>2255.3633275032025</v>
      </c>
      <c r="HK22" s="26">
        <v>864.14458199753267</v>
      </c>
      <c r="HL22" s="26">
        <v>646.5529241584178</v>
      </c>
      <c r="HM22" s="26">
        <v>811.61512881186661</v>
      </c>
      <c r="HN22" s="26">
        <v>835.19077374359495</v>
      </c>
      <c r="HO22" s="26">
        <v>250.23625172361898</v>
      </c>
      <c r="HP22" s="26">
        <v>64.417468344112891</v>
      </c>
      <c r="HQ22" s="26">
        <v>11.111121532727971</v>
      </c>
      <c r="HR22" s="2"/>
      <c r="HT22" s="21" t="b">
        <f t="shared" si="79"/>
        <v>1</v>
      </c>
      <c r="HU22" s="21" t="b">
        <f t="shared" si="80"/>
        <v>1</v>
      </c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K22" s="21" t="b">
        <f t="shared" si="95"/>
        <v>1</v>
      </c>
      <c r="IL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</row>
    <row r="23" spans="1:262" x14ac:dyDescent="0.25">
      <c r="A23" t="s">
        <v>80</v>
      </c>
      <c r="B23" s="2">
        <v>42185</v>
      </c>
      <c r="C23" s="22"/>
      <c r="D23" s="18"/>
      <c r="E23" s="11"/>
      <c r="F23" s="26">
        <v>5002.7394883045281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31.008959126666667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151.36642974558598</v>
      </c>
      <c r="AO23" s="26">
        <v>21.773682973896168</v>
      </c>
      <c r="AP23" s="26">
        <v>3.224747497327058</v>
      </c>
      <c r="AQ23" s="26">
        <v>185.80098483029894</v>
      </c>
      <c r="AR23" s="26">
        <v>2.0498661616576022</v>
      </c>
      <c r="AS23" s="26">
        <v>110.3562884604921</v>
      </c>
      <c r="AT23" s="26">
        <v>52.813224000508889</v>
      </c>
      <c r="AU23" s="26">
        <v>126.52148311479797</v>
      </c>
      <c r="AV23" s="26">
        <v>74.666166850559136</v>
      </c>
      <c r="AW23" s="26">
        <v>57.214739000501247</v>
      </c>
      <c r="AX23" s="26">
        <v>60.990104649537905</v>
      </c>
      <c r="AY23" s="26">
        <v>145.61734722264453</v>
      </c>
      <c r="AZ23" s="26">
        <v>0.43714104974437079</v>
      </c>
      <c r="BA23" s="26">
        <v>0.43594667529151726</v>
      </c>
      <c r="BB23" s="26">
        <v>9.6393046169055037</v>
      </c>
      <c r="BC23" s="26">
        <v>0</v>
      </c>
      <c r="BD23" s="10"/>
      <c r="BE23" s="26">
        <v>1698.0094976036783</v>
      </c>
      <c r="BF23" s="26">
        <v>1450.4969933594627</v>
      </c>
      <c r="BG23" s="26">
        <v>1076.6860856774013</v>
      </c>
      <c r="BH23" s="26">
        <v>1249.1717815827271</v>
      </c>
      <c r="BI23" s="26">
        <v>1300.6016570590523</v>
      </c>
      <c r="BJ23" s="26">
        <v>1557.4844249912258</v>
      </c>
      <c r="BK23" s="26">
        <v>1435.3147503910266</v>
      </c>
      <c r="BL23" s="26">
        <v>1758.1653473641888</v>
      </c>
      <c r="BM23" s="26">
        <v>560.33492096912357</v>
      </c>
      <c r="BN23" s="26">
        <v>325.99971309351014</v>
      </c>
      <c r="BO23" s="26">
        <v>278.28609333418689</v>
      </c>
      <c r="BP23" s="26">
        <v>489.52569969230592</v>
      </c>
      <c r="BQ23" s="26">
        <v>115.84994940384578</v>
      </c>
      <c r="BR23" s="26">
        <v>71.861465688417752</v>
      </c>
      <c r="BS23" s="26">
        <v>288.75204404535219</v>
      </c>
      <c r="BT23" s="26">
        <v>5.8155087669688541</v>
      </c>
      <c r="BU23" s="10"/>
      <c r="BV23" s="26">
        <v>4702.6349061403762</v>
      </c>
      <c r="BW23" s="26">
        <v>420.52537599588908</v>
      </c>
      <c r="BX23" s="26">
        <v>331.41679601582041</v>
      </c>
      <c r="BY23" s="26">
        <v>486.60985244685673</v>
      </c>
      <c r="BZ23" s="26">
        <v>645.37321280257356</v>
      </c>
      <c r="CA23" s="26">
        <v>684.6648025194612</v>
      </c>
      <c r="CB23" s="26">
        <v>689.46317717751697</v>
      </c>
      <c r="CC23" s="26">
        <v>2322.1615322226558</v>
      </c>
      <c r="CD23" s="26">
        <v>1720.3859153430628</v>
      </c>
      <c r="CE23" s="26">
        <v>-165.74642939806915</v>
      </c>
      <c r="CF23" s="26">
        <v>9.8501813478497041E-2</v>
      </c>
      <c r="CG23" s="26">
        <v>9.8501813478497041E-2</v>
      </c>
      <c r="CH23" s="26">
        <v>9.8501816331389699E-2</v>
      </c>
      <c r="CI23" s="26">
        <v>73.928503183726363</v>
      </c>
      <c r="CJ23" s="26">
        <v>1.0418763968270306E-5</v>
      </c>
      <c r="CK23" s="26">
        <v>1.0421616860923172E-5</v>
      </c>
      <c r="CL23" s="10"/>
      <c r="CM23" s="26">
        <v>200.09070007333335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50.349293981655663</v>
      </c>
      <c r="DE23" s="26">
        <v>6.5847215976317193</v>
      </c>
      <c r="DF23" s="26">
        <v>4.2099462980554891</v>
      </c>
      <c r="DG23" s="26">
        <v>1.8591835051499443</v>
      </c>
      <c r="DH23" s="26">
        <v>2.2007152558441789</v>
      </c>
      <c r="DI23" s="26">
        <v>4.022336281095984</v>
      </c>
      <c r="DJ23" s="26">
        <v>4.2845797471955036</v>
      </c>
      <c r="DK23" s="26">
        <v>23.868429237078232</v>
      </c>
      <c r="DL23" s="26">
        <v>16.995474968539959</v>
      </c>
      <c r="DM23" s="26">
        <v>0.14948564882977017</v>
      </c>
      <c r="DN23" s="26">
        <v>8.6929659130912567E-4</v>
      </c>
      <c r="DO23" s="26">
        <v>8.6929659130912567E-4</v>
      </c>
      <c r="DP23" s="26">
        <v>0.52992663503246829</v>
      </c>
      <c r="DQ23" s="26">
        <v>0</v>
      </c>
      <c r="DR23" s="26">
        <v>0</v>
      </c>
      <c r="DS23" s="26">
        <v>0</v>
      </c>
      <c r="DT23" s="10"/>
      <c r="DU23" s="26">
        <v>245.88917480385388</v>
      </c>
      <c r="DV23" s="26">
        <v>314.11686952914329</v>
      </c>
      <c r="DW23" s="26">
        <v>25.863944906081787</v>
      </c>
      <c r="DX23" s="26">
        <v>368.91740968479144</v>
      </c>
      <c r="DY23" s="26">
        <v>283.77134070943646</v>
      </c>
      <c r="DZ23" s="26">
        <v>476.27506650874341</v>
      </c>
      <c r="EA23" s="26">
        <v>185.7554065813448</v>
      </c>
      <c r="EB23" s="26">
        <v>299.5313617162999</v>
      </c>
      <c r="EC23" s="26">
        <v>164.70875740208311</v>
      </c>
      <c r="ED23" s="26">
        <v>83.1867736129295</v>
      </c>
      <c r="EE23" s="26">
        <v>83.151921266645815</v>
      </c>
      <c r="EF23" s="26">
        <v>30.281597469615079</v>
      </c>
      <c r="EG23" s="26">
        <v>135.53612168115453</v>
      </c>
      <c r="EH23" s="26">
        <v>206.15034427515388</v>
      </c>
      <c r="EI23" s="26">
        <v>78.663090422058389</v>
      </c>
      <c r="EJ23" s="26">
        <v>11.111111111111111</v>
      </c>
      <c r="EK23" s="10"/>
      <c r="EL23" s="26">
        <v>3.4653888125000001</v>
      </c>
      <c r="EM23" s="26">
        <v>349.92553864471</v>
      </c>
      <c r="EN23" s="26">
        <v>42.645413590361109</v>
      </c>
      <c r="EO23" s="26">
        <v>52.67856045138889</v>
      </c>
      <c r="EP23" s="26">
        <v>362.616699767368</v>
      </c>
      <c r="EQ23" s="26">
        <v>186.57661946532986</v>
      </c>
      <c r="ER23" s="26">
        <v>413.64789247921874</v>
      </c>
      <c r="ES23" s="26">
        <v>177.0767514375521</v>
      </c>
      <c r="ET23" s="26">
        <v>415.23897655564588</v>
      </c>
      <c r="EU23" s="26">
        <v>930.74376532644089</v>
      </c>
      <c r="EV23" s="26">
        <v>1288.4284370473056</v>
      </c>
      <c r="EW23" s="26">
        <v>747.16660906250002</v>
      </c>
      <c r="EX23" s="26">
        <v>0</v>
      </c>
      <c r="EY23" s="26">
        <v>0</v>
      </c>
      <c r="EZ23" s="26">
        <v>0</v>
      </c>
      <c r="FA23" s="26">
        <v>0</v>
      </c>
      <c r="FB23" s="10"/>
      <c r="FC23" s="26">
        <v>127.52700143256627</v>
      </c>
      <c r="FD23" s="26">
        <v>212.64737705796296</v>
      </c>
      <c r="FE23" s="26">
        <v>352.29920400998532</v>
      </c>
      <c r="FF23" s="26">
        <v>105.4482516192776</v>
      </c>
      <c r="FG23" s="26">
        <v>32.058892183355553</v>
      </c>
      <c r="FH23" s="26">
        <v>63.842125094283318</v>
      </c>
      <c r="FI23" s="26">
        <v>63.71229784029164</v>
      </c>
      <c r="FJ23" s="26">
        <v>63.71229784029164</v>
      </c>
      <c r="FK23" s="26">
        <v>63.757024826958308</v>
      </c>
      <c r="FL23" s="26">
        <v>937.1505202053944</v>
      </c>
      <c r="FM23" s="26">
        <v>963.24108759362491</v>
      </c>
      <c r="FN23" s="26">
        <v>741.57202260579732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470.67518467658181</v>
      </c>
      <c r="FU23" s="26">
        <v>4.9758384868746566</v>
      </c>
      <c r="FV23" s="26">
        <v>1283.6752349203664</v>
      </c>
      <c r="FW23" s="26">
        <v>765.3814198102001</v>
      </c>
      <c r="FX23" s="26">
        <v>10.086105832934731</v>
      </c>
      <c r="FY23" s="26">
        <v>216.42850779902778</v>
      </c>
      <c r="FZ23" s="26">
        <v>15.678484360138892</v>
      </c>
      <c r="GA23" s="26">
        <v>111.46769949902777</v>
      </c>
      <c r="GB23" s="26">
        <v>57.084697205416674</v>
      </c>
      <c r="GC23" s="26">
        <v>115.23874365277777</v>
      </c>
      <c r="GD23" s="26">
        <v>37.677699305555549</v>
      </c>
      <c r="GE23" s="26">
        <v>100.25924402777778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6883.1243747804592</v>
      </c>
      <c r="GL23" s="26">
        <v>1472.270676333359</v>
      </c>
      <c r="GM23" s="26">
        <v>1079.9108331747284</v>
      </c>
      <c r="GN23" s="26">
        <v>1434.972766413026</v>
      </c>
      <c r="GO23" s="26">
        <v>1302.6515232207098</v>
      </c>
      <c r="GP23" s="26">
        <v>1667.8407134517179</v>
      </c>
      <c r="GQ23" s="26">
        <v>1488.1279743915354</v>
      </c>
      <c r="GR23" s="26">
        <v>1884.6868304789868</v>
      </c>
      <c r="GS23" s="26">
        <v>635.00108781968265</v>
      </c>
      <c r="GT23" s="26">
        <v>383.21445209401139</v>
      </c>
      <c r="GU23" s="26">
        <v>339.27619798372478</v>
      </c>
      <c r="GV23" s="26">
        <v>635.14304691495045</v>
      </c>
      <c r="GW23" s="26">
        <v>116.28709045359015</v>
      </c>
      <c r="GX23" s="26">
        <v>72.29741236370927</v>
      </c>
      <c r="GY23" s="26">
        <v>298.39134866225771</v>
      </c>
      <c r="GZ23" s="26">
        <v>5.8155087669688541</v>
      </c>
      <c r="HA23" s="2"/>
      <c r="HB23" s="26">
        <v>5202.4294638117199</v>
      </c>
      <c r="HC23" s="26">
        <v>1091.1525057673741</v>
      </c>
      <c r="HD23" s="26">
        <v>404.13610081031879</v>
      </c>
      <c r="HE23" s="26">
        <v>910.06500608818692</v>
      </c>
      <c r="HF23" s="26">
        <v>1293.9619685352222</v>
      </c>
      <c r="HG23" s="26">
        <v>1351.5388247746305</v>
      </c>
      <c r="HH23" s="26">
        <v>1293.1510559852759</v>
      </c>
      <c r="HI23" s="26">
        <v>2822.6380746135856</v>
      </c>
      <c r="HJ23" s="26">
        <v>2317.3291242693322</v>
      </c>
      <c r="HK23" s="26">
        <v>848.33359519013106</v>
      </c>
      <c r="HL23" s="26">
        <v>1371.6797294240212</v>
      </c>
      <c r="HM23" s="26">
        <v>777.54757764218493</v>
      </c>
      <c r="HN23" s="26">
        <v>136.16455013251837</v>
      </c>
      <c r="HO23" s="26">
        <v>280.07884745888026</v>
      </c>
      <c r="HP23" s="26">
        <v>78.663100840822352</v>
      </c>
      <c r="HQ23" s="26">
        <v>11.111121532727971</v>
      </c>
      <c r="HR23" s="2"/>
      <c r="HT23" s="21" t="b">
        <f t="shared" si="79"/>
        <v>1</v>
      </c>
      <c r="HU23" s="21" t="b">
        <f t="shared" si="80"/>
        <v>1</v>
      </c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K23" s="21" t="b">
        <f t="shared" si="95"/>
        <v>1</v>
      </c>
      <c r="IL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</row>
    <row r="24" spans="1:262" x14ac:dyDescent="0.25">
      <c r="A24" t="s">
        <v>81</v>
      </c>
      <c r="B24" s="2">
        <v>42277</v>
      </c>
      <c r="C24" s="22"/>
      <c r="D24" s="18"/>
      <c r="E24" s="11"/>
      <c r="F24" s="26">
        <v>5278.1173015898021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31.012252876666668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165.73027270713297</v>
      </c>
      <c r="AO24" s="26">
        <v>71.277299095161752</v>
      </c>
      <c r="AP24" s="26">
        <v>117.95928085735039</v>
      </c>
      <c r="AQ24" s="26">
        <v>15.513310398275193</v>
      </c>
      <c r="AR24" s="26">
        <v>3.5190704326583719</v>
      </c>
      <c r="AS24" s="26">
        <v>107.05698292715874</v>
      </c>
      <c r="AT24" s="26">
        <v>52.813224000508889</v>
      </c>
      <c r="AU24" s="26">
        <v>143.41770170067724</v>
      </c>
      <c r="AV24" s="26">
        <v>57.769948264679854</v>
      </c>
      <c r="AW24" s="26">
        <v>73.322386862326439</v>
      </c>
      <c r="AX24" s="26">
        <v>104.88732201384467</v>
      </c>
      <c r="AY24" s="26">
        <v>85.612481996512557</v>
      </c>
      <c r="AZ24" s="26">
        <v>0.43714104974437079</v>
      </c>
      <c r="BA24" s="26">
        <v>0.43594667529151732</v>
      </c>
      <c r="BB24" s="26">
        <v>9.529422167242986</v>
      </c>
      <c r="BC24" s="26">
        <v>0</v>
      </c>
      <c r="BD24" s="10"/>
      <c r="BE24" s="26">
        <v>1815.1938289953659</v>
      </c>
      <c r="BF24" s="26">
        <v>1182.8800029207466</v>
      </c>
      <c r="BG24" s="26">
        <v>1079.8097281138423</v>
      </c>
      <c r="BH24" s="26">
        <v>1147.6792810530133</v>
      </c>
      <c r="BI24" s="26">
        <v>1775.6778272712913</v>
      </c>
      <c r="BJ24" s="26">
        <v>1563.6873348699019</v>
      </c>
      <c r="BK24" s="26">
        <v>1537.7541797508497</v>
      </c>
      <c r="BL24" s="26">
        <v>1719.9613255447684</v>
      </c>
      <c r="BM24" s="26">
        <v>547.33385405048682</v>
      </c>
      <c r="BN24" s="26">
        <v>363.23594867053686</v>
      </c>
      <c r="BO24" s="26">
        <v>358.74014696191659</v>
      </c>
      <c r="BP24" s="26">
        <v>465.84303099655551</v>
      </c>
      <c r="BQ24" s="26">
        <v>110.15709238076911</v>
      </c>
      <c r="BR24" s="26">
        <v>72.279706133515802</v>
      </c>
      <c r="BS24" s="26">
        <v>298.66996624377771</v>
      </c>
      <c r="BT24" s="26">
        <v>4.8241381663957679</v>
      </c>
      <c r="BU24" s="10"/>
      <c r="BV24" s="26">
        <v>4682.1338212415139</v>
      </c>
      <c r="BW24" s="26">
        <v>411.34105600089441</v>
      </c>
      <c r="BX24" s="26">
        <v>336.06355096212974</v>
      </c>
      <c r="BY24" s="26">
        <v>518.61717117449473</v>
      </c>
      <c r="BZ24" s="26">
        <v>872.16741594474092</v>
      </c>
      <c r="CA24" s="26">
        <v>686.71619592599018</v>
      </c>
      <c r="CB24" s="26">
        <v>729.09591296693247</v>
      </c>
      <c r="CC24" s="26">
        <v>2385.5141095805125</v>
      </c>
      <c r="CD24" s="26">
        <v>1532.7477549819741</v>
      </c>
      <c r="CE24" s="26">
        <v>-82.881447209091959</v>
      </c>
      <c r="CF24" s="26">
        <v>0.10124485606905506</v>
      </c>
      <c r="CG24" s="26">
        <v>0.10124485606905506</v>
      </c>
      <c r="CH24" s="26">
        <v>0.10124485892194772</v>
      </c>
      <c r="CI24" s="26">
        <v>75.987258922994229</v>
      </c>
      <c r="CJ24" s="26">
        <v>1.0418763968270306E-5</v>
      </c>
      <c r="CK24" s="26">
        <v>1.0421616860923172E-5</v>
      </c>
      <c r="CL24" s="10"/>
      <c r="CM24" s="26">
        <v>200.11195007333336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49.833458096233677</v>
      </c>
      <c r="DE24" s="26">
        <v>2.9821404617816527</v>
      </c>
      <c r="DF24" s="26">
        <v>3.2360567805768561</v>
      </c>
      <c r="DG24" s="26">
        <v>2.1172986011288062</v>
      </c>
      <c r="DH24" s="26">
        <v>11.257728156169449</v>
      </c>
      <c r="DI24" s="26">
        <v>4.5239158510698649</v>
      </c>
      <c r="DJ24" s="26">
        <v>24.667264094417938</v>
      </c>
      <c r="DK24" s="26">
        <v>17.455094316575117</v>
      </c>
      <c r="DL24" s="26">
        <v>0.92966683174138587</v>
      </c>
      <c r="DM24" s="26">
        <v>0.17739900946660106</v>
      </c>
      <c r="DN24" s="26">
        <v>8.6929659130912567E-4</v>
      </c>
      <c r="DO24" s="26">
        <v>8.6929659130912567E-4</v>
      </c>
      <c r="DP24" s="26">
        <v>0.52970752465876836</v>
      </c>
      <c r="DQ24" s="26">
        <v>0</v>
      </c>
      <c r="DR24" s="26">
        <v>0</v>
      </c>
      <c r="DS24" s="26">
        <v>0</v>
      </c>
      <c r="DT24" s="10"/>
      <c r="DU24" s="26">
        <v>388.2257541638927</v>
      </c>
      <c r="DV24" s="26">
        <v>27.394879349956938</v>
      </c>
      <c r="DW24" s="26">
        <v>217.74716117445348</v>
      </c>
      <c r="DX24" s="26">
        <v>275.01106641490384</v>
      </c>
      <c r="DY24" s="26">
        <v>314.44896887739299</v>
      </c>
      <c r="DZ24" s="26">
        <v>326.32338026140206</v>
      </c>
      <c r="EA24" s="26">
        <v>216.43849360329122</v>
      </c>
      <c r="EB24" s="26">
        <v>325.57261743851751</v>
      </c>
      <c r="EC24" s="26">
        <v>166.50103144576175</v>
      </c>
      <c r="ED24" s="26">
        <v>88.255256035601704</v>
      </c>
      <c r="EE24" s="26">
        <v>75.009383661976955</v>
      </c>
      <c r="EF24" s="26">
        <v>113.58471718666758</v>
      </c>
      <c r="EG24" s="26">
        <v>118.06097254129378</v>
      </c>
      <c r="EH24" s="26">
        <v>204.66711776852139</v>
      </c>
      <c r="EI24" s="26">
        <v>92.532101031209748</v>
      </c>
      <c r="EJ24" s="26">
        <v>11.111111111111111</v>
      </c>
      <c r="EK24" s="10"/>
      <c r="EL24" s="26">
        <v>38.17888827083334</v>
      </c>
      <c r="EM24" s="26">
        <v>362.69895910197499</v>
      </c>
      <c r="EN24" s="26">
        <v>349.01958569693971</v>
      </c>
      <c r="EO24" s="26">
        <v>262.63975407639589</v>
      </c>
      <c r="EP24" s="26">
        <v>141.88483117022221</v>
      </c>
      <c r="EQ24" s="26">
        <v>186.5590382569965</v>
      </c>
      <c r="ER24" s="26">
        <v>410.46569377088548</v>
      </c>
      <c r="ES24" s="26">
        <v>177.0767514375521</v>
      </c>
      <c r="ET24" s="26">
        <v>1215.2389765556459</v>
      </c>
      <c r="EU24" s="26">
        <v>584.88598774866318</v>
      </c>
      <c r="EV24" s="26">
        <v>795.57810906249995</v>
      </c>
      <c r="EW24" s="26">
        <v>747.16660906250002</v>
      </c>
      <c r="EX24" s="26">
        <v>0</v>
      </c>
      <c r="EY24" s="26">
        <v>0</v>
      </c>
      <c r="EZ24" s="26">
        <v>0</v>
      </c>
      <c r="FA24" s="26">
        <v>0</v>
      </c>
      <c r="FB24" s="10"/>
      <c r="FC24" s="26">
        <v>98.074621505162042</v>
      </c>
      <c r="FD24" s="26">
        <v>201.61021211833378</v>
      </c>
      <c r="FE24" s="26">
        <v>158.04523442047292</v>
      </c>
      <c r="FF24" s="26">
        <v>318.68370828611495</v>
      </c>
      <c r="FG24" s="26">
        <v>31.82795989759444</v>
      </c>
      <c r="FH24" s="26">
        <v>63.71229784029164</v>
      </c>
      <c r="FI24" s="26">
        <v>63.71229784029164</v>
      </c>
      <c r="FJ24" s="26">
        <v>63.71229784029164</v>
      </c>
      <c r="FK24" s="26">
        <v>947.67727741428314</v>
      </c>
      <c r="FL24" s="26">
        <v>521.9542641158472</v>
      </c>
      <c r="FM24" s="26">
        <v>478.51794270695837</v>
      </c>
      <c r="FN24" s="26">
        <v>731.42999357775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1173.7176906527066</v>
      </c>
      <c r="FU24" s="26">
        <v>13.270748248866889</v>
      </c>
      <c r="FV24" s="26">
        <v>506.21429272205307</v>
      </c>
      <c r="FW24" s="26">
        <v>814.26887237687083</v>
      </c>
      <c r="FX24" s="26">
        <v>154.17664677786112</v>
      </c>
      <c r="FY24" s="26">
        <v>65.868343354583331</v>
      </c>
      <c r="FZ24" s="26">
        <v>15.678484360138892</v>
      </c>
      <c r="GA24" s="26">
        <v>118.34674134333333</v>
      </c>
      <c r="GB24" s="26">
        <v>129.75252936111113</v>
      </c>
      <c r="GC24" s="26">
        <v>44.707926652777779</v>
      </c>
      <c r="GD24" s="26">
        <v>66.507265277777776</v>
      </c>
      <c r="GE24" s="26">
        <v>60.832282499999998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7290.0536561689678</v>
      </c>
      <c r="GL24" s="26">
        <v>1254.1573020159083</v>
      </c>
      <c r="GM24" s="26">
        <v>1197.7690089711928</v>
      </c>
      <c r="GN24" s="26">
        <v>1163.1925914512885</v>
      </c>
      <c r="GO24" s="26">
        <v>1779.1968977039496</v>
      </c>
      <c r="GP24" s="26">
        <v>1670.7443177970606</v>
      </c>
      <c r="GQ24" s="26">
        <v>1590.5674037513586</v>
      </c>
      <c r="GR24" s="26">
        <v>1863.3790272454457</v>
      </c>
      <c r="GS24" s="26">
        <v>605.10380231516672</v>
      </c>
      <c r="GT24" s="26">
        <v>436.55833553286328</v>
      </c>
      <c r="GU24" s="26">
        <v>463.62746897576125</v>
      </c>
      <c r="GV24" s="26">
        <v>551.45551299306806</v>
      </c>
      <c r="GW24" s="26">
        <v>110.59423343051348</v>
      </c>
      <c r="GX24" s="26">
        <v>72.71565280880732</v>
      </c>
      <c r="GY24" s="26">
        <v>308.19938841102072</v>
      </c>
      <c r="GZ24" s="26">
        <v>4.8241381663957679</v>
      </c>
      <c r="HA24" s="2"/>
      <c r="HB24" s="26">
        <v>5358.4838718458068</v>
      </c>
      <c r="HC24" s="26">
        <v>804.41703491460794</v>
      </c>
      <c r="HD24" s="26">
        <v>906.06635461409974</v>
      </c>
      <c r="HE24" s="26">
        <v>1058.3852902669232</v>
      </c>
      <c r="HF24" s="26">
        <v>1339.7589441485256</v>
      </c>
      <c r="HG24" s="26">
        <v>1204.1225302954585</v>
      </c>
      <c r="HH24" s="26">
        <v>1380.6673644355271</v>
      </c>
      <c r="HI24" s="26">
        <v>2905.6185727731572</v>
      </c>
      <c r="HJ24" s="26">
        <v>2915.4174298151229</v>
      </c>
      <c r="HK24" s="26">
        <v>590.43719558463954</v>
      </c>
      <c r="HL24" s="26">
        <v>870.68960687713729</v>
      </c>
      <c r="HM24" s="26">
        <v>860.85344040182792</v>
      </c>
      <c r="HN24" s="26">
        <v>118.6919249248745</v>
      </c>
      <c r="HO24" s="26">
        <v>280.65437669151561</v>
      </c>
      <c r="HP24" s="26">
        <v>92.532111449973712</v>
      </c>
      <c r="HQ24" s="26">
        <v>11.111121532727971</v>
      </c>
      <c r="HR24" s="2"/>
      <c r="HT24" s="21" t="b">
        <f t="shared" si="79"/>
        <v>1</v>
      </c>
      <c r="HU24" s="21" t="b">
        <f t="shared" si="80"/>
        <v>1</v>
      </c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K24" s="21" t="b">
        <f t="shared" si="95"/>
        <v>1</v>
      </c>
      <c r="IL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</row>
    <row r="25" spans="1:262" x14ac:dyDescent="0.25">
      <c r="A25" t="s">
        <v>82</v>
      </c>
      <c r="B25" s="2">
        <v>42369</v>
      </c>
      <c r="C25" s="22"/>
      <c r="D25" s="18"/>
      <c r="E25" s="11"/>
      <c r="F25" s="26">
        <v>5449.9145043961953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31.016235515555557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214.16192279541943</v>
      </c>
      <c r="AO25" s="26">
        <v>21.751237303339149</v>
      </c>
      <c r="AP25" s="26">
        <v>2.3171977930057941</v>
      </c>
      <c r="AQ25" s="26">
        <v>115.93554139318549</v>
      </c>
      <c r="AR25" s="26">
        <v>4.5099172093166295</v>
      </c>
      <c r="AS25" s="26">
        <v>109.43171134282618</v>
      </c>
      <c r="AT25" s="26">
        <v>49.496151540397015</v>
      </c>
      <c r="AU25" s="26">
        <v>198.34759292394605</v>
      </c>
      <c r="AV25" s="26">
        <v>36.551115606083258</v>
      </c>
      <c r="AW25" s="26">
        <v>43.246426111132777</v>
      </c>
      <c r="AX25" s="26">
        <v>101.20252709369946</v>
      </c>
      <c r="AY25" s="26">
        <v>85.612481996512557</v>
      </c>
      <c r="AZ25" s="26">
        <v>0.43714104974437079</v>
      </c>
      <c r="BA25" s="26">
        <v>0.43594667529151732</v>
      </c>
      <c r="BB25" s="26">
        <v>9.4207340920333191</v>
      </c>
      <c r="BC25" s="26">
        <v>0</v>
      </c>
      <c r="BD25" s="10"/>
      <c r="BE25" s="26">
        <v>1539.5170427856838</v>
      </c>
      <c r="BF25" s="26">
        <v>1391.9728448931758</v>
      </c>
      <c r="BG25" s="26">
        <v>1059.7331844707876</v>
      </c>
      <c r="BH25" s="26">
        <v>1392.2884765542881</v>
      </c>
      <c r="BI25" s="26">
        <v>1764.0234750044922</v>
      </c>
      <c r="BJ25" s="26">
        <v>1636.002676636155</v>
      </c>
      <c r="BK25" s="26">
        <v>1721.8387857656901</v>
      </c>
      <c r="BL25" s="26">
        <v>1602.6493592347667</v>
      </c>
      <c r="BM25" s="26">
        <v>543.37029847121903</v>
      </c>
      <c r="BN25" s="26">
        <v>383.10308252216828</v>
      </c>
      <c r="BO25" s="26">
        <v>466.76974100464321</v>
      </c>
      <c r="BP25" s="26">
        <v>419.18102368372541</v>
      </c>
      <c r="BQ25" s="26">
        <v>103.06638632099171</v>
      </c>
      <c r="BR25" s="26">
        <v>69.113230001544963</v>
      </c>
      <c r="BS25" s="26">
        <v>305.98312277604884</v>
      </c>
      <c r="BT25" s="26">
        <v>3.9124335455363073</v>
      </c>
      <c r="BU25" s="10"/>
      <c r="BV25" s="26">
        <v>4773.1904102150202</v>
      </c>
      <c r="BW25" s="26">
        <v>428.26621671851211</v>
      </c>
      <c r="BX25" s="26">
        <v>344.99569876309749</v>
      </c>
      <c r="BY25" s="26">
        <v>525.44746124233598</v>
      </c>
      <c r="BZ25" s="26">
        <v>884.44335016534717</v>
      </c>
      <c r="CA25" s="26">
        <v>711.89569582052468</v>
      </c>
      <c r="CB25" s="26">
        <v>768.31998761279601</v>
      </c>
      <c r="CC25" s="26">
        <v>2450.1635157988921</v>
      </c>
      <c r="CD25" s="26">
        <v>1547.961052475287</v>
      </c>
      <c r="CE25" s="26">
        <v>-50.451718472590514</v>
      </c>
      <c r="CF25" s="26">
        <v>0.10396099458565089</v>
      </c>
      <c r="CG25" s="26">
        <v>0.10396099458565089</v>
      </c>
      <c r="CH25" s="26">
        <v>0.10396099743854355</v>
      </c>
      <c r="CI25" s="26">
        <v>78.025822151628105</v>
      </c>
      <c r="CJ25" s="26">
        <v>1.0418763968270306E-5</v>
      </c>
      <c r="CK25" s="26">
        <v>1.0421616860923172E-5</v>
      </c>
      <c r="CL25" s="10"/>
      <c r="CM25" s="26">
        <v>200.1376445177778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50.515054986431977</v>
      </c>
      <c r="DE25" s="26">
        <v>3.0638716529924483</v>
      </c>
      <c r="DF25" s="26">
        <v>2.9659585891683511</v>
      </c>
      <c r="DG25" s="26">
        <v>1.4624372382736865</v>
      </c>
      <c r="DH25" s="26">
        <v>13.568044810315376</v>
      </c>
      <c r="DI25" s="26">
        <v>4.7574060871551795</v>
      </c>
      <c r="DJ25" s="26">
        <v>24.845915947032921</v>
      </c>
      <c r="DK25" s="26">
        <v>17.605649483924033</v>
      </c>
      <c r="DL25" s="26">
        <v>0.86260276890507137</v>
      </c>
      <c r="DM25" s="26">
        <v>0.16653095438237125</v>
      </c>
      <c r="DN25" s="26">
        <v>8.6929659130912567E-4</v>
      </c>
      <c r="DO25" s="26">
        <v>8.6929659130912567E-4</v>
      </c>
      <c r="DP25" s="26">
        <v>0.52948841428506843</v>
      </c>
      <c r="DQ25" s="26">
        <v>0</v>
      </c>
      <c r="DR25" s="26">
        <v>0</v>
      </c>
      <c r="DS25" s="26">
        <v>0</v>
      </c>
      <c r="DT25" s="10"/>
      <c r="DU25" s="26">
        <v>68.487150850657116</v>
      </c>
      <c r="DV25" s="26">
        <v>99.165795222808484</v>
      </c>
      <c r="DW25" s="26">
        <v>136.75502902190763</v>
      </c>
      <c r="DX25" s="26">
        <v>213.46247840594194</v>
      </c>
      <c r="DY25" s="26">
        <v>573.15578067789431</v>
      </c>
      <c r="DZ25" s="26">
        <v>654.47935846794439</v>
      </c>
      <c r="EA25" s="26">
        <v>606.76813570590241</v>
      </c>
      <c r="EB25" s="26">
        <v>242.42553573614819</v>
      </c>
      <c r="EC25" s="26">
        <v>181.72693231222974</v>
      </c>
      <c r="ED25" s="26">
        <v>104.38475992012013</v>
      </c>
      <c r="EE25" s="26">
        <v>77.928845346588744</v>
      </c>
      <c r="EF25" s="26">
        <v>129.72116747806061</v>
      </c>
      <c r="EG25" s="26">
        <v>188.0401860264528</v>
      </c>
      <c r="EH25" s="26">
        <v>214.45566950215004</v>
      </c>
      <c r="EI25" s="26">
        <v>128.26219169738991</v>
      </c>
      <c r="EJ25" s="26">
        <v>22.222222222222221</v>
      </c>
      <c r="EK25" s="10"/>
      <c r="EL25" s="26">
        <v>3.5212444166666663</v>
      </c>
      <c r="EM25" s="26">
        <v>400.64366086311662</v>
      </c>
      <c r="EN25" s="26">
        <v>1024.2000677112917</v>
      </c>
      <c r="EO25" s="26">
        <v>99.976945690972215</v>
      </c>
      <c r="EP25" s="26">
        <v>95.323950777861114</v>
      </c>
      <c r="EQ25" s="26">
        <v>183.49389247921874</v>
      </c>
      <c r="ER25" s="26">
        <v>410.46569377088548</v>
      </c>
      <c r="ES25" s="26">
        <v>427.0767514375521</v>
      </c>
      <c r="ET25" s="26">
        <v>952.78064322231251</v>
      </c>
      <c r="EU25" s="26">
        <v>584.88598774866318</v>
      </c>
      <c r="EV25" s="26">
        <v>773.16060906250004</v>
      </c>
      <c r="EW25" s="26">
        <v>731.69152287500003</v>
      </c>
      <c r="EX25" s="26">
        <v>0</v>
      </c>
      <c r="EY25" s="26">
        <v>0</v>
      </c>
      <c r="EZ25" s="26">
        <v>0</v>
      </c>
      <c r="FA25" s="26">
        <v>0</v>
      </c>
      <c r="FB25" s="10"/>
      <c r="FC25" s="26">
        <v>92.176475448295335</v>
      </c>
      <c r="FD25" s="26">
        <v>204.77617736240154</v>
      </c>
      <c r="FE25" s="26">
        <v>329.12350388841651</v>
      </c>
      <c r="FF25" s="26">
        <v>105.74496972884366</v>
      </c>
      <c r="FG25" s="26">
        <v>31.82795989759444</v>
      </c>
      <c r="FH25" s="26">
        <v>63.71229784029164</v>
      </c>
      <c r="FI25" s="26">
        <v>63.71229784029164</v>
      </c>
      <c r="FJ25" s="26">
        <v>63.71229784029164</v>
      </c>
      <c r="FK25" s="26">
        <v>947.67727741428314</v>
      </c>
      <c r="FL25" s="26">
        <v>516.39730888918064</v>
      </c>
      <c r="FM25" s="26">
        <v>478.51794270695837</v>
      </c>
      <c r="FN25" s="26">
        <v>731.42999357775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462.40105075451959</v>
      </c>
      <c r="FU25" s="26">
        <v>2.1881034184161527</v>
      </c>
      <c r="FV25" s="26">
        <v>1283.180855124609</v>
      </c>
      <c r="FW25" s="26">
        <v>720.9360913100337</v>
      </c>
      <c r="FX25" s="26">
        <v>154.1992893889722</v>
      </c>
      <c r="FY25" s="26">
        <v>68.600826754583338</v>
      </c>
      <c r="FZ25" s="26">
        <v>12.635336860138889</v>
      </c>
      <c r="GA25" s="26">
        <v>162.95012860991665</v>
      </c>
      <c r="GB25" s="26">
        <v>102.82462758333334</v>
      </c>
      <c r="GC25" s="26">
        <v>26.083176513888887</v>
      </c>
      <c r="GD25" s="26">
        <v>66.24580402777778</v>
      </c>
      <c r="GE25" s="26">
        <v>60.295886111111109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7234.6097054928541</v>
      </c>
      <c r="GL25" s="26">
        <v>1413.7240821965149</v>
      </c>
      <c r="GM25" s="26">
        <v>1062.0503822637934</v>
      </c>
      <c r="GN25" s="26">
        <v>1508.2240179474736</v>
      </c>
      <c r="GO25" s="26">
        <v>1768.5333922138088</v>
      </c>
      <c r="GP25" s="26">
        <v>1745.4343879789812</v>
      </c>
      <c r="GQ25" s="26">
        <v>1771.3349373060871</v>
      </c>
      <c r="GR25" s="26">
        <v>1800.9969521587127</v>
      </c>
      <c r="GS25" s="26">
        <v>579.9214140773023</v>
      </c>
      <c r="GT25" s="26">
        <v>426.34950863330107</v>
      </c>
      <c r="GU25" s="26">
        <v>567.97226809834262</v>
      </c>
      <c r="GV25" s="26">
        <v>504.79350568023796</v>
      </c>
      <c r="GW25" s="26">
        <v>103.50352737073608</v>
      </c>
      <c r="GX25" s="26">
        <v>69.549176676836481</v>
      </c>
      <c r="GY25" s="26">
        <v>315.40385686808219</v>
      </c>
      <c r="GZ25" s="26">
        <v>3.9124335455363073</v>
      </c>
      <c r="HA25" s="2"/>
      <c r="HB25" s="26">
        <v>5095.8515049865528</v>
      </c>
      <c r="HC25" s="26">
        <v>931.13954445742979</v>
      </c>
      <c r="HD25" s="26">
        <v>1508.9167540854651</v>
      </c>
      <c r="HE25" s="26">
        <v>840.34932257752382</v>
      </c>
      <c r="HF25" s="26">
        <v>1566.4911264314183</v>
      </c>
      <c r="HG25" s="26">
        <v>1554.6263528548429</v>
      </c>
      <c r="HH25" s="26">
        <v>1810.3997330366169</v>
      </c>
      <c r="HI25" s="26">
        <v>3137.2714524565163</v>
      </c>
      <c r="HJ25" s="26">
        <v>2683.3312307787346</v>
      </c>
      <c r="HK25" s="26">
        <v>638.98556015057522</v>
      </c>
      <c r="HL25" s="26">
        <v>851.19428470026571</v>
      </c>
      <c r="HM25" s="26">
        <v>861.51752064423761</v>
      </c>
      <c r="HN25" s="26">
        <v>188.6736354381764</v>
      </c>
      <c r="HO25" s="26">
        <v>292.48149165377816</v>
      </c>
      <c r="HP25" s="26">
        <v>128.26220211615387</v>
      </c>
      <c r="HQ25" s="26">
        <v>22.222232643839082</v>
      </c>
      <c r="HR25" s="2"/>
      <c r="HT25" s="21" t="b">
        <f t="shared" si="79"/>
        <v>1</v>
      </c>
      <c r="HU25" s="21" t="b">
        <f t="shared" si="80"/>
        <v>1</v>
      </c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K25" s="21" t="b">
        <f t="shared" si="95"/>
        <v>1</v>
      </c>
      <c r="IL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</row>
    <row r="26" spans="1:262" x14ac:dyDescent="0.25">
      <c r="A26" t="s">
        <v>83</v>
      </c>
      <c r="B26" s="2">
        <v>42460</v>
      </c>
      <c r="C26" s="22"/>
      <c r="D26" s="18"/>
      <c r="E26" s="11"/>
      <c r="F26" s="26">
        <v>5800.2514406808223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31.026353571034413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222.60799672973161</v>
      </c>
      <c r="AO26" s="26">
        <v>54.319321864644188</v>
      </c>
      <c r="AP26" s="26">
        <v>63.887232077190447</v>
      </c>
      <c r="AQ26" s="26">
        <v>17.217116048265428</v>
      </c>
      <c r="AR26" s="26">
        <v>82.485766980722985</v>
      </c>
      <c r="AS26" s="26">
        <v>44.291426852875233</v>
      </c>
      <c r="AT26" s="26">
        <v>159.34530577176457</v>
      </c>
      <c r="AU26" s="26">
        <v>74.665895281670245</v>
      </c>
      <c r="AV26" s="26">
        <v>35.789883783310962</v>
      </c>
      <c r="AW26" s="26">
        <v>82.464656973394852</v>
      </c>
      <c r="AX26" s="26">
        <v>82.987054546017887</v>
      </c>
      <c r="AY26" s="26">
        <v>63.067433726371007</v>
      </c>
      <c r="AZ26" s="26">
        <v>0.43594667529151726</v>
      </c>
      <c r="BA26" s="26">
        <v>0.43594667529151726</v>
      </c>
      <c r="BB26" s="26">
        <v>9.3132403912765049</v>
      </c>
      <c r="BC26" s="26">
        <v>0</v>
      </c>
      <c r="BD26" s="10"/>
      <c r="BE26" s="26">
        <v>1837.5155563342589</v>
      </c>
      <c r="BF26" s="26">
        <v>1205.820642198828</v>
      </c>
      <c r="BG26" s="26">
        <v>1256.6794997849004</v>
      </c>
      <c r="BH26" s="26">
        <v>1527.4925930064167</v>
      </c>
      <c r="BI26" s="26">
        <v>1455.337140998598</v>
      </c>
      <c r="BJ26" s="26">
        <v>1738.4066629968745</v>
      </c>
      <c r="BK26" s="26">
        <v>2047.1444260444468</v>
      </c>
      <c r="BL26" s="26">
        <v>1322.4347660315418</v>
      </c>
      <c r="BM26" s="26">
        <v>553.75742453796795</v>
      </c>
      <c r="BN26" s="26">
        <v>408.95324987225501</v>
      </c>
      <c r="BO26" s="26">
        <v>562.46544237276862</v>
      </c>
      <c r="BP26" s="26">
        <v>367.1062221644371</v>
      </c>
      <c r="BQ26" s="26">
        <v>102.09362205224407</v>
      </c>
      <c r="BR26" s="26">
        <v>69.064417091364575</v>
      </c>
      <c r="BS26" s="26">
        <v>313.55451145161322</v>
      </c>
      <c r="BT26" s="26">
        <v>3.0990933652219508</v>
      </c>
      <c r="BU26" s="10"/>
      <c r="BV26" s="26">
        <v>4876.8983828291757</v>
      </c>
      <c r="BW26" s="26">
        <v>436.37530260839878</v>
      </c>
      <c r="BX26" s="26">
        <v>356.69115598551798</v>
      </c>
      <c r="BY26" s="26">
        <v>741.02908499529121</v>
      </c>
      <c r="BZ26" s="26">
        <v>709.73371518432771</v>
      </c>
      <c r="CA26" s="26">
        <v>755.06882853524894</v>
      </c>
      <c r="CB26" s="26">
        <v>752.54509510075241</v>
      </c>
      <c r="CC26" s="26">
        <v>2510.6474306422292</v>
      </c>
      <c r="CD26" s="26">
        <v>1560.2773417703036</v>
      </c>
      <c r="CE26" s="26">
        <v>-18.423930951549316</v>
      </c>
      <c r="CF26" s="26">
        <v>0.10663319388928753</v>
      </c>
      <c r="CG26" s="26">
        <v>0.10663319674218019</v>
      </c>
      <c r="CH26" s="26">
        <v>0.10663319388928753</v>
      </c>
      <c r="CI26" s="26">
        <v>80.031407362651166</v>
      </c>
      <c r="CJ26" s="26">
        <v>1.0421616860923172E-5</v>
      </c>
      <c r="CK26" s="26">
        <v>1.0418763968270306E-5</v>
      </c>
      <c r="CL26" s="10"/>
      <c r="CM26" s="26">
        <v>200.20292229506072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50.378850056245312</v>
      </c>
      <c r="DE26" s="26">
        <v>2.7719029762022513</v>
      </c>
      <c r="DF26" s="26">
        <v>3.3066317275207817</v>
      </c>
      <c r="DG26" s="26">
        <v>10.778929060775097</v>
      </c>
      <c r="DH26" s="26">
        <v>5.9087172391633986</v>
      </c>
      <c r="DI26" s="26">
        <v>4.9603898714789203</v>
      </c>
      <c r="DJ26" s="26">
        <v>24.979792239786633</v>
      </c>
      <c r="DK26" s="26">
        <v>17.71829670330365</v>
      </c>
      <c r="DL26" s="26">
        <v>0.90616797552153361</v>
      </c>
      <c r="DM26" s="26">
        <v>0.13931685886940609</v>
      </c>
      <c r="DN26" s="26">
        <v>8.6929659130912567E-4</v>
      </c>
      <c r="DO26" s="26">
        <v>8.7167822580586313E-4</v>
      </c>
      <c r="DP26" s="26">
        <v>0.52927168554586546</v>
      </c>
      <c r="DQ26" s="26">
        <v>0</v>
      </c>
      <c r="DR26" s="26">
        <v>0</v>
      </c>
      <c r="DS26" s="26">
        <v>0</v>
      </c>
      <c r="DT26" s="10"/>
      <c r="DU26" s="26">
        <v>115.98181927842566</v>
      </c>
      <c r="DV26" s="26">
        <v>30.367166426135309</v>
      </c>
      <c r="DW26" s="26">
        <v>91.270029932839108</v>
      </c>
      <c r="DX26" s="26">
        <v>317.68726986080526</v>
      </c>
      <c r="DY26" s="26">
        <v>446.72935071260468</v>
      </c>
      <c r="DZ26" s="26">
        <v>660.80137072210221</v>
      </c>
      <c r="EA26" s="26">
        <v>645.1257068674056</v>
      </c>
      <c r="EB26" s="26">
        <v>278.83263162320395</v>
      </c>
      <c r="EC26" s="26">
        <v>196.81356427174549</v>
      </c>
      <c r="ED26" s="26">
        <v>120.45633336282147</v>
      </c>
      <c r="EE26" s="26">
        <v>80.786366001075862</v>
      </c>
      <c r="EF26" s="26">
        <v>145.88645656194919</v>
      </c>
      <c r="EG26" s="26">
        <v>256.141404981466</v>
      </c>
      <c r="EH26" s="26">
        <v>213.14559540582204</v>
      </c>
      <c r="EI26" s="26">
        <v>163.61607283502076</v>
      </c>
      <c r="EJ26" s="26">
        <v>33.333333333333329</v>
      </c>
      <c r="EK26" s="10"/>
      <c r="EL26" s="26">
        <v>53.175776291666665</v>
      </c>
      <c r="EM26" s="26">
        <v>395.96315730724058</v>
      </c>
      <c r="EN26" s="26">
        <v>817.09096235444372</v>
      </c>
      <c r="EO26" s="26">
        <v>41.907885479249998</v>
      </c>
      <c r="EP26" s="26">
        <v>94.728002777746525</v>
      </c>
      <c r="EQ26" s="26">
        <v>413.64789247921874</v>
      </c>
      <c r="ER26" s="26">
        <v>177.0767514375521</v>
      </c>
      <c r="ES26" s="26">
        <v>427.28712157647919</v>
      </c>
      <c r="ET26" s="26">
        <v>930.95082863894095</v>
      </c>
      <c r="EU26" s="26">
        <v>568.42843704730558</v>
      </c>
      <c r="EV26" s="26">
        <v>773.16060906250004</v>
      </c>
      <c r="EW26" s="26">
        <v>731.69152287500003</v>
      </c>
      <c r="EX26" s="26">
        <v>0</v>
      </c>
      <c r="EY26" s="26">
        <v>0</v>
      </c>
      <c r="EZ26" s="26">
        <v>0</v>
      </c>
      <c r="FA26" s="26">
        <v>0</v>
      </c>
      <c r="FB26" s="10"/>
      <c r="FC26" s="26">
        <v>79.642760381697784</v>
      </c>
      <c r="FD26" s="26">
        <v>193.90999919930627</v>
      </c>
      <c r="FE26" s="26">
        <v>134.52812885729773</v>
      </c>
      <c r="FF26" s="26">
        <v>319.5460917493819</v>
      </c>
      <c r="FG26" s="26">
        <v>32.044531072244439</v>
      </c>
      <c r="FH26" s="26">
        <v>63.71229784029164</v>
      </c>
      <c r="FI26" s="26">
        <v>63.71229784029164</v>
      </c>
      <c r="FJ26" s="26">
        <v>63.726658951402754</v>
      </c>
      <c r="FK26" s="26">
        <v>937.1808860809499</v>
      </c>
      <c r="FL26" s="26">
        <v>516.39730888918064</v>
      </c>
      <c r="FM26" s="26">
        <v>472.82252604029168</v>
      </c>
      <c r="FN26" s="26">
        <v>721.11986462106108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1171.3926407322315</v>
      </c>
      <c r="FU26" s="26">
        <v>0.64047027777777776</v>
      </c>
      <c r="FV26" s="26">
        <v>478.68835940622347</v>
      </c>
      <c r="FW26" s="26">
        <v>962.74740429684118</v>
      </c>
      <c r="FX26" s="26">
        <v>47.486907047305557</v>
      </c>
      <c r="FY26" s="26">
        <v>24.742916026805556</v>
      </c>
      <c r="FZ26" s="26">
        <v>117.82517227680553</v>
      </c>
      <c r="GA26" s="26">
        <v>57.273066068250003</v>
      </c>
      <c r="GB26" s="26">
        <v>102.3801404861111</v>
      </c>
      <c r="GC26" s="26">
        <v>50.938008861111115</v>
      </c>
      <c r="GD26" s="26">
        <v>56.598973749999999</v>
      </c>
      <c r="GE26" s="26">
        <v>44.448388333333334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7891.4013473158475</v>
      </c>
      <c r="GL26" s="26">
        <v>1260.1399640634722</v>
      </c>
      <c r="GM26" s="26">
        <v>1320.5667318620908</v>
      </c>
      <c r="GN26" s="26">
        <v>1544.709709054682</v>
      </c>
      <c r="GO26" s="26">
        <v>1537.8229079793209</v>
      </c>
      <c r="GP26" s="26">
        <v>1782.6980898497497</v>
      </c>
      <c r="GQ26" s="26">
        <v>2206.4897318162116</v>
      </c>
      <c r="GR26" s="26">
        <v>1397.100661313212</v>
      </c>
      <c r="GS26" s="26">
        <v>589.54730832127893</v>
      </c>
      <c r="GT26" s="26">
        <v>491.4179068456499</v>
      </c>
      <c r="GU26" s="26">
        <v>645.45249691878655</v>
      </c>
      <c r="GV26" s="26">
        <v>430.17365589080811</v>
      </c>
      <c r="GW26" s="26">
        <v>102.52956872753559</v>
      </c>
      <c r="GX26" s="26">
        <v>69.500363766656093</v>
      </c>
      <c r="GY26" s="26">
        <v>322.86775184288973</v>
      </c>
      <c r="GZ26" s="26">
        <v>3.0990933652219508</v>
      </c>
      <c r="HA26" s="2"/>
      <c r="HB26" s="26">
        <v>5296.637750750574</v>
      </c>
      <c r="HC26" s="26">
        <v>865.47752931797686</v>
      </c>
      <c r="HD26" s="26">
        <v>1268.3587800003215</v>
      </c>
      <c r="HE26" s="26">
        <v>1111.4031693961215</v>
      </c>
      <c r="HF26" s="26">
        <v>1257.0997859138422</v>
      </c>
      <c r="HG26" s="26">
        <v>1834.4784816080487</v>
      </c>
      <c r="HH26" s="26">
        <v>1599.7273456454968</v>
      </c>
      <c r="HI26" s="26">
        <v>3234.485480545216</v>
      </c>
      <c r="HJ26" s="26">
        <v>2688.9479026565114</v>
      </c>
      <c r="HK26" s="26">
        <v>670.60015631744716</v>
      </c>
      <c r="HL26" s="26">
        <v>854.05447755405646</v>
      </c>
      <c r="HM26" s="26">
        <v>877.68548431191721</v>
      </c>
      <c r="HN26" s="26">
        <v>256.77730986090114</v>
      </c>
      <c r="HO26" s="26">
        <v>293.17700276847319</v>
      </c>
      <c r="HP26" s="26">
        <v>163.61608325663761</v>
      </c>
      <c r="HQ26" s="26">
        <v>33.333343752097299</v>
      </c>
      <c r="HR26" s="2"/>
      <c r="HT26" s="21" t="b">
        <f t="shared" si="79"/>
        <v>1</v>
      </c>
      <c r="HU26" s="21" t="b">
        <f t="shared" si="80"/>
        <v>1</v>
      </c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K26" s="21" t="b">
        <f t="shared" si="95"/>
        <v>1</v>
      </c>
      <c r="IL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</row>
    <row r="27" spans="1:262" x14ac:dyDescent="0.25">
      <c r="A27" t="s">
        <v>84</v>
      </c>
      <c r="B27" s="2">
        <v>42551</v>
      </c>
      <c r="C27" s="22"/>
      <c r="D27" s="18"/>
      <c r="E27" s="11"/>
      <c r="F27" s="26">
        <v>5973.4404482568634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31.035129959851549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228.15515696569233</v>
      </c>
      <c r="AO27" s="26">
        <v>16.548576997774575</v>
      </c>
      <c r="AP27" s="26">
        <v>4.7067712666457346</v>
      </c>
      <c r="AQ27" s="26">
        <v>111.28404050606244</v>
      </c>
      <c r="AR27" s="26">
        <v>105.84637125117547</v>
      </c>
      <c r="AS27" s="26">
        <v>52.813224000508889</v>
      </c>
      <c r="AT27" s="26">
        <v>126.52148311479797</v>
      </c>
      <c r="AU27" s="26">
        <v>74.666166850559136</v>
      </c>
      <c r="AV27" s="26">
        <v>57.214739000501247</v>
      </c>
      <c r="AW27" s="26">
        <v>60.990104649537905</v>
      </c>
      <c r="AX27" s="26">
        <v>145.61734722264453</v>
      </c>
      <c r="AY27" s="26">
        <v>0.43714104974437079</v>
      </c>
      <c r="AZ27" s="26">
        <v>0.43594667529151726</v>
      </c>
      <c r="BA27" s="26">
        <v>0.43594667529151726</v>
      </c>
      <c r="BB27" s="26">
        <v>9.2033579416139872</v>
      </c>
      <c r="BC27" s="26">
        <v>0</v>
      </c>
      <c r="BD27" s="10"/>
      <c r="BE27" s="26">
        <v>1824.1388914927711</v>
      </c>
      <c r="BF27" s="26">
        <v>1539.2990132646373</v>
      </c>
      <c r="BG27" s="26">
        <v>1136.0445415005643</v>
      </c>
      <c r="BH27" s="26">
        <v>1373.6603794264086</v>
      </c>
      <c r="BI27" s="26">
        <v>1626.963443841586</v>
      </c>
      <c r="BJ27" s="26">
        <v>1883.0960957878694</v>
      </c>
      <c r="BK27" s="26">
        <v>2242.2450416935249</v>
      </c>
      <c r="BL27" s="26">
        <v>1070.0094376173022</v>
      </c>
      <c r="BM27" s="26">
        <v>562.07932584872469</v>
      </c>
      <c r="BN27" s="26">
        <v>435.04075512146539</v>
      </c>
      <c r="BO27" s="26">
        <v>627.95777857207804</v>
      </c>
      <c r="BP27" s="26">
        <v>358.40889837131749</v>
      </c>
      <c r="BQ27" s="26">
        <v>81.438409632430947</v>
      </c>
      <c r="BR27" s="26">
        <v>57.413522397434129</v>
      </c>
      <c r="BS27" s="26">
        <v>320.04883869668021</v>
      </c>
      <c r="BT27" s="26">
        <v>2.3792421255738874</v>
      </c>
      <c r="BU27" s="10"/>
      <c r="BV27" s="26">
        <v>5185.5867372293033</v>
      </c>
      <c r="BW27" s="26">
        <v>457.5291009857807</v>
      </c>
      <c r="BX27" s="26">
        <v>363.7753682393452</v>
      </c>
      <c r="BY27" s="26">
        <v>552.81944799838072</v>
      </c>
      <c r="BZ27" s="26">
        <v>737.1310192711943</v>
      </c>
      <c r="CA27" s="26">
        <v>798.80671752474814</v>
      </c>
      <c r="CB27" s="26">
        <v>757.65320462970112</v>
      </c>
      <c r="CC27" s="26">
        <v>2571.1064316691754</v>
      </c>
      <c r="CD27" s="26">
        <v>1583.3879992498566</v>
      </c>
      <c r="CE27" s="26">
        <v>2.7892605608419792</v>
      </c>
      <c r="CF27" s="26">
        <v>0.10930112993507114</v>
      </c>
      <c r="CG27" s="26">
        <v>0.1093011327879638</v>
      </c>
      <c r="CH27" s="26">
        <v>0.10930112993507114</v>
      </c>
      <c r="CI27" s="26">
        <v>82.033792839698847</v>
      </c>
      <c r="CJ27" s="26">
        <v>1.0421616860923172E-5</v>
      </c>
      <c r="CK27" s="26">
        <v>1.0418763968270306E-5</v>
      </c>
      <c r="CL27" s="10"/>
      <c r="CM27" s="26">
        <v>200.25954415839712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55.853408475054607</v>
      </c>
      <c r="DE27" s="26">
        <v>5.6374556085542311</v>
      </c>
      <c r="DF27" s="26">
        <v>4.8588935474087869</v>
      </c>
      <c r="DG27" s="26">
        <v>3.7392533271149331</v>
      </c>
      <c r="DH27" s="26">
        <v>4.7601879540455849</v>
      </c>
      <c r="DI27" s="26">
        <v>5.1967874062612882</v>
      </c>
      <c r="DJ27" s="26">
        <v>25.129641949508425</v>
      </c>
      <c r="DK27" s="26">
        <v>17.853965836110376</v>
      </c>
      <c r="DL27" s="26">
        <v>0.6805629312906446</v>
      </c>
      <c r="DM27" s="26">
        <v>0.14543251527589698</v>
      </c>
      <c r="DN27" s="26">
        <v>8.6929659130912567E-4</v>
      </c>
      <c r="DO27" s="26">
        <v>0.52992663503246829</v>
      </c>
      <c r="DP27" s="26">
        <v>0</v>
      </c>
      <c r="DQ27" s="26">
        <v>0</v>
      </c>
      <c r="DR27" s="26">
        <v>0</v>
      </c>
      <c r="DS27" s="26">
        <v>0</v>
      </c>
      <c r="DT27" s="10"/>
      <c r="DU27" s="26">
        <v>68.446119338185255</v>
      </c>
      <c r="DV27" s="26">
        <v>73.624231637222366</v>
      </c>
      <c r="DW27" s="26">
        <v>188.52497600687045</v>
      </c>
      <c r="DX27" s="26">
        <v>392.26037772858575</v>
      </c>
      <c r="DY27" s="26">
        <v>335.06835107765755</v>
      </c>
      <c r="DZ27" s="26">
        <v>648.58089282323601</v>
      </c>
      <c r="EA27" s="26">
        <v>671.32118437919883</v>
      </c>
      <c r="EB27" s="26">
        <v>303.09520498233024</v>
      </c>
      <c r="EC27" s="26">
        <v>200.67464093448882</v>
      </c>
      <c r="ED27" s="26">
        <v>125.32134952131352</v>
      </c>
      <c r="EE27" s="26">
        <v>72.451025724282772</v>
      </c>
      <c r="EF27" s="26">
        <v>177.76019981536317</v>
      </c>
      <c r="EG27" s="26">
        <v>284.39885635987292</v>
      </c>
      <c r="EH27" s="26">
        <v>211.46541277445834</v>
      </c>
      <c r="EI27" s="26">
        <v>176.27943549916552</v>
      </c>
      <c r="EJ27" s="26">
        <v>33.333333333333329</v>
      </c>
      <c r="EK27" s="10"/>
      <c r="EL27" s="26">
        <v>3.1997799166666665</v>
      </c>
      <c r="EM27" s="26">
        <v>735.67309821558479</v>
      </c>
      <c r="EN27" s="26">
        <v>856.00910778876357</v>
      </c>
      <c r="EO27" s="26">
        <v>53.416065298611109</v>
      </c>
      <c r="EP27" s="26">
        <v>91.252668687468756</v>
      </c>
      <c r="EQ27" s="26">
        <v>413.64789247921874</v>
      </c>
      <c r="ER27" s="26">
        <v>177.0767514375521</v>
      </c>
      <c r="ES27" s="26">
        <v>415.23897655564588</v>
      </c>
      <c r="ET27" s="26">
        <v>930.74376532644089</v>
      </c>
      <c r="EU27" s="26">
        <v>1288.4284370473056</v>
      </c>
      <c r="EV27" s="26">
        <v>747.16660906250002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10"/>
      <c r="FC27" s="26">
        <v>86.324681370769326</v>
      </c>
      <c r="FD27" s="26">
        <v>205.03803146627047</v>
      </c>
      <c r="FE27" s="26">
        <v>330.21923534173476</v>
      </c>
      <c r="FF27" s="26">
        <v>105.88657009355998</v>
      </c>
      <c r="FG27" s="26">
        <v>32.014165196688893</v>
      </c>
      <c r="FH27" s="26">
        <v>63.71229784029164</v>
      </c>
      <c r="FI27" s="26">
        <v>63.71229784029164</v>
      </c>
      <c r="FJ27" s="26">
        <v>63.757024826958308</v>
      </c>
      <c r="FK27" s="26">
        <v>937.1505202053944</v>
      </c>
      <c r="FL27" s="26">
        <v>963.24108759362491</v>
      </c>
      <c r="FM27" s="26">
        <v>741.57202260579732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466.38155186028797</v>
      </c>
      <c r="FU27" s="26">
        <v>0.21318555555555557</v>
      </c>
      <c r="FV27" s="26">
        <v>1432.9589392778819</v>
      </c>
      <c r="FW27" s="26">
        <v>722.03491818829957</v>
      </c>
      <c r="FX27" s="26">
        <v>62.229218410055559</v>
      </c>
      <c r="FY27" s="26">
        <v>15.678484360138892</v>
      </c>
      <c r="FZ27" s="26">
        <v>111.46769949902777</v>
      </c>
      <c r="GA27" s="26">
        <v>57.084697205416674</v>
      </c>
      <c r="GB27" s="26">
        <v>115.23874365277777</v>
      </c>
      <c r="GC27" s="26">
        <v>37.677699305555549</v>
      </c>
      <c r="GD27" s="26">
        <v>100.25924402777778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8056.7696266751782</v>
      </c>
      <c r="GL27" s="26">
        <v>1555.8475902624118</v>
      </c>
      <c r="GM27" s="26">
        <v>1140.75131276721</v>
      </c>
      <c r="GN27" s="26">
        <v>1484.944419932471</v>
      </c>
      <c r="GO27" s="26">
        <v>1732.8098150927615</v>
      </c>
      <c r="GP27" s="26">
        <v>1935.9093197883783</v>
      </c>
      <c r="GQ27" s="26">
        <v>2368.7665248083226</v>
      </c>
      <c r="GR27" s="26">
        <v>1144.6756044678614</v>
      </c>
      <c r="GS27" s="26">
        <v>619.29406484922595</v>
      </c>
      <c r="GT27" s="26">
        <v>496.03085977100329</v>
      </c>
      <c r="GU27" s="26">
        <v>773.57512579472257</v>
      </c>
      <c r="GV27" s="26">
        <v>358.84603942106185</v>
      </c>
      <c r="GW27" s="26">
        <v>81.874356307722465</v>
      </c>
      <c r="GX27" s="26">
        <v>57.849469072725647</v>
      </c>
      <c r="GY27" s="26">
        <v>329.25219663829421</v>
      </c>
      <c r="GZ27" s="26">
        <v>2.3792421255738874</v>
      </c>
      <c r="HA27" s="2"/>
      <c r="HB27" s="26">
        <v>5513.3455891176063</v>
      </c>
      <c r="HC27" s="26">
        <v>1272.4638864471422</v>
      </c>
      <c r="HD27" s="26">
        <v>1413.1683455823882</v>
      </c>
      <c r="HE27" s="26">
        <v>1002.2351443526925</v>
      </c>
      <c r="HF27" s="26">
        <v>1168.2122269903662</v>
      </c>
      <c r="HG27" s="26">
        <v>1866.232290233464</v>
      </c>
      <c r="HH27" s="26">
        <v>1631.1807823959603</v>
      </c>
      <c r="HI27" s="26">
        <v>3307.2945790432623</v>
      </c>
      <c r="HJ27" s="26">
        <v>2715.4869684420773</v>
      </c>
      <c r="HK27" s="26">
        <v>1416.6844796447369</v>
      </c>
      <c r="HL27" s="26">
        <v>819.72780521330913</v>
      </c>
      <c r="HM27" s="26">
        <v>178.39942758318361</v>
      </c>
      <c r="HN27" s="26">
        <v>284.50815748980801</v>
      </c>
      <c r="HO27" s="26">
        <v>293.49920561415718</v>
      </c>
      <c r="HP27" s="26">
        <v>176.27944592078236</v>
      </c>
      <c r="HQ27" s="26">
        <v>33.333343752097299</v>
      </c>
      <c r="HR27" s="2"/>
      <c r="HT27" s="21" t="b">
        <f t="shared" si="79"/>
        <v>1</v>
      </c>
      <c r="HU27" s="21" t="b">
        <f t="shared" si="80"/>
        <v>1</v>
      </c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K27" s="21" t="b">
        <f t="shared" si="95"/>
        <v>1</v>
      </c>
      <c r="IL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</row>
    <row r="28" spans="1:262" x14ac:dyDescent="0.25">
      <c r="A28" t="s">
        <v>85</v>
      </c>
      <c r="B28" s="2">
        <v>42643</v>
      </c>
      <c r="C28" s="22"/>
      <c r="D28" s="18"/>
      <c r="E28" s="11"/>
      <c r="F28" s="26">
        <v>6174.6574566695836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31.045029227175775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252.2402517316616</v>
      </c>
      <c r="AO28" s="26">
        <v>46.383085317858303</v>
      </c>
      <c r="AP28" s="26">
        <v>59.732082797176645</v>
      </c>
      <c r="AQ28" s="26">
        <v>81.385037754402205</v>
      </c>
      <c r="AR28" s="26">
        <v>24.571215946435764</v>
      </c>
      <c r="AS28" s="26">
        <v>52.813224000508889</v>
      </c>
      <c r="AT28" s="26">
        <v>143.41770170067724</v>
      </c>
      <c r="AU28" s="26">
        <v>57.769948264679854</v>
      </c>
      <c r="AV28" s="26">
        <v>73.322386862326439</v>
      </c>
      <c r="AW28" s="26">
        <v>104.88732201384467</v>
      </c>
      <c r="AX28" s="26">
        <v>85.612481996512557</v>
      </c>
      <c r="AY28" s="26">
        <v>0.43714104974437079</v>
      </c>
      <c r="AZ28" s="26">
        <v>0.43594667529151732</v>
      </c>
      <c r="BA28" s="26">
        <v>0.43594667529151732</v>
      </c>
      <c r="BB28" s="26">
        <v>9.0934754919514678</v>
      </c>
      <c r="BC28" s="26">
        <v>0</v>
      </c>
      <c r="BD28" s="10"/>
      <c r="BE28" s="26">
        <v>1939.504687213037</v>
      </c>
      <c r="BF28" s="26">
        <v>1300.7631682612503</v>
      </c>
      <c r="BG28" s="26">
        <v>1191.8615029570453</v>
      </c>
      <c r="BH28" s="26">
        <v>1270.8695853408581</v>
      </c>
      <c r="BI28" s="26">
        <v>2069.9181750900134</v>
      </c>
      <c r="BJ28" s="26">
        <v>1988.8086800325386</v>
      </c>
      <c r="BK28" s="26">
        <v>2192.5220951150623</v>
      </c>
      <c r="BL28" s="26">
        <v>1029.0842458603686</v>
      </c>
      <c r="BM28" s="26">
        <v>599.73987312399265</v>
      </c>
      <c r="BN28" s="26">
        <v>516.62094979116546</v>
      </c>
      <c r="BO28" s="26">
        <v>604.50999329445779</v>
      </c>
      <c r="BP28" s="26">
        <v>329.505046596169</v>
      </c>
      <c r="BQ28" s="26">
        <v>81.593588321521707</v>
      </c>
      <c r="BR28" s="26">
        <v>55.780513456304639</v>
      </c>
      <c r="BS28" s="26">
        <v>327.06408836209192</v>
      </c>
      <c r="BT28" s="26">
        <v>1.7462760504840871</v>
      </c>
      <c r="BU28" s="10"/>
      <c r="BV28" s="26">
        <v>5125.5859952458222</v>
      </c>
      <c r="BW28" s="26">
        <v>444.39585212978284</v>
      </c>
      <c r="BX28" s="26">
        <v>380.0258696319346</v>
      </c>
      <c r="BY28" s="26">
        <v>579.0649882338987</v>
      </c>
      <c r="BZ28" s="26">
        <v>951.85575890792745</v>
      </c>
      <c r="CA28" s="26">
        <v>857.01381586896377</v>
      </c>
      <c r="CB28" s="26">
        <v>811.73505832953856</v>
      </c>
      <c r="CC28" s="26">
        <v>2397.6012511845065</v>
      </c>
      <c r="CD28" s="26">
        <v>1710.3181006658676</v>
      </c>
      <c r="CE28" s="26">
        <v>2.3735815009192982</v>
      </c>
      <c r="CF28" s="26">
        <v>0.112017183064178</v>
      </c>
      <c r="CG28" s="26">
        <v>0.11201718591707066</v>
      </c>
      <c r="CH28" s="26">
        <v>0.112017183064178</v>
      </c>
      <c r="CI28" s="26">
        <v>84.072291981838561</v>
      </c>
      <c r="CJ28" s="26">
        <v>1.0421616860923172E-5</v>
      </c>
      <c r="CK28" s="26">
        <v>1.0418763968270306E-5</v>
      </c>
      <c r="CL28" s="10"/>
      <c r="CM28" s="26">
        <v>200.32341039919856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54.049203860639523</v>
      </c>
      <c r="DE28" s="26">
        <v>3.4827145593748439</v>
      </c>
      <c r="DF28" s="26">
        <v>3.7336999927482948</v>
      </c>
      <c r="DG28" s="26">
        <v>3.3197612766618176</v>
      </c>
      <c r="DH28" s="26">
        <v>13.573114323066481</v>
      </c>
      <c r="DI28" s="26">
        <v>25.808139757963655</v>
      </c>
      <c r="DJ28" s="26">
        <v>18.936443195172071</v>
      </c>
      <c r="DK28" s="26">
        <v>1.9877120398607355</v>
      </c>
      <c r="DL28" s="26">
        <v>1.1623561470620072</v>
      </c>
      <c r="DM28" s="26">
        <v>0.17714326918794984</v>
      </c>
      <c r="DN28" s="26">
        <v>8.6929659130912567E-4</v>
      </c>
      <c r="DO28" s="26">
        <v>0.52970752465876836</v>
      </c>
      <c r="DP28" s="26">
        <v>0</v>
      </c>
      <c r="DQ28" s="26">
        <v>0</v>
      </c>
      <c r="DR28" s="26">
        <v>0</v>
      </c>
      <c r="DS28" s="26">
        <v>0</v>
      </c>
      <c r="DT28" s="10"/>
      <c r="DU28" s="26">
        <v>95.914096193302029</v>
      </c>
      <c r="DV28" s="26">
        <v>70.375788662016262</v>
      </c>
      <c r="DW28" s="26">
        <v>238.7079204652882</v>
      </c>
      <c r="DX28" s="26">
        <v>157.11537289819699</v>
      </c>
      <c r="DY28" s="26">
        <v>310.56495717537155</v>
      </c>
      <c r="DZ28" s="26">
        <v>674.20919913016655</v>
      </c>
      <c r="EA28" s="26">
        <v>694.29908687896443</v>
      </c>
      <c r="EB28" s="26">
        <v>303.21726549802599</v>
      </c>
      <c r="EC28" s="26">
        <v>204.35312729804343</v>
      </c>
      <c r="ED28" s="26">
        <v>116.89473097503151</v>
      </c>
      <c r="EE28" s="26">
        <v>155.47006449972213</v>
      </c>
      <c r="EF28" s="26">
        <v>160.00019142993969</v>
      </c>
      <c r="EG28" s="26">
        <v>282.22842104455555</v>
      </c>
      <c r="EH28" s="26">
        <v>209.50178720752194</v>
      </c>
      <c r="EI28" s="26">
        <v>188.50706027971313</v>
      </c>
      <c r="EJ28" s="26">
        <v>33.333333333333329</v>
      </c>
      <c r="EK28" s="10"/>
      <c r="EL28" s="26">
        <v>37.892586187500001</v>
      </c>
      <c r="EM28" s="26">
        <v>751.403918430521</v>
      </c>
      <c r="EN28" s="26">
        <v>1204.5451803186813</v>
      </c>
      <c r="EO28" s="26">
        <v>41.311937479135416</v>
      </c>
      <c r="EP28" s="26">
        <v>91.831035479250005</v>
      </c>
      <c r="EQ28" s="26">
        <v>410.46569377088548</v>
      </c>
      <c r="ER28" s="26">
        <v>177.0767514375521</v>
      </c>
      <c r="ES28" s="26">
        <v>1215.2389765556459</v>
      </c>
      <c r="ET28" s="26">
        <v>584.88598774866318</v>
      </c>
      <c r="EU28" s="26">
        <v>795.57810906249995</v>
      </c>
      <c r="EV28" s="26">
        <v>747.16660906250002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10"/>
      <c r="FC28" s="26">
        <v>79.923915833762464</v>
      </c>
      <c r="FD28" s="26">
        <v>194.09713553813233</v>
      </c>
      <c r="FE28" s="26">
        <v>134.66161359910774</v>
      </c>
      <c r="FF28" s="26">
        <v>168.16018966122041</v>
      </c>
      <c r="FG28" s="26">
        <v>31.667766768047219</v>
      </c>
      <c r="FH28" s="26">
        <v>63.71229784029164</v>
      </c>
      <c r="FI28" s="26">
        <v>63.71229784029164</v>
      </c>
      <c r="FJ28" s="26">
        <v>947.67727741428314</v>
      </c>
      <c r="FK28" s="26">
        <v>521.9542641158472</v>
      </c>
      <c r="FL28" s="26">
        <v>478.51794270695837</v>
      </c>
      <c r="FM28" s="26">
        <v>731.42999357775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1172.7474967142989</v>
      </c>
      <c r="FU28" s="26">
        <v>0.64885555555555552</v>
      </c>
      <c r="FV28" s="26">
        <v>478.92374848731345</v>
      </c>
      <c r="FW28" s="26">
        <v>857.6254435617808</v>
      </c>
      <c r="FX28" s="26">
        <v>18.381436307277781</v>
      </c>
      <c r="FY28" s="26">
        <v>15.678484360138892</v>
      </c>
      <c r="FZ28" s="26">
        <v>118.34674134333333</v>
      </c>
      <c r="GA28" s="26">
        <v>129.75252936111113</v>
      </c>
      <c r="GB28" s="26">
        <v>44.707926652777779</v>
      </c>
      <c r="GC28" s="26">
        <v>66.507265277777776</v>
      </c>
      <c r="GD28" s="26">
        <v>60.832282499999998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8397.447424841459</v>
      </c>
      <c r="GL28" s="26">
        <v>1347.1462535791086</v>
      </c>
      <c r="GM28" s="26">
        <v>1251.593585754222</v>
      </c>
      <c r="GN28" s="26">
        <v>1352.2546230952603</v>
      </c>
      <c r="GO28" s="26">
        <v>2094.489391036449</v>
      </c>
      <c r="GP28" s="26">
        <v>2041.6219040330475</v>
      </c>
      <c r="GQ28" s="26">
        <v>2335.9397968157396</v>
      </c>
      <c r="GR28" s="26">
        <v>1086.8541941250485</v>
      </c>
      <c r="GS28" s="26">
        <v>673.06225998631908</v>
      </c>
      <c r="GT28" s="26">
        <v>621.50827180501017</v>
      </c>
      <c r="GU28" s="26">
        <v>690.12247529097033</v>
      </c>
      <c r="GV28" s="26">
        <v>329.94218764591335</v>
      </c>
      <c r="GW28" s="26">
        <v>82.029534996813226</v>
      </c>
      <c r="GX28" s="26">
        <v>56.216460131596158</v>
      </c>
      <c r="GY28" s="26">
        <v>336.15756385404342</v>
      </c>
      <c r="GZ28" s="26">
        <v>1.7462760504840871</v>
      </c>
      <c r="HA28" s="2"/>
      <c r="HB28" s="26">
        <v>5513.7652918864624</v>
      </c>
      <c r="HC28" s="26">
        <v>1269.658273781695</v>
      </c>
      <c r="HD28" s="26">
        <v>1827.0126704086524</v>
      </c>
      <c r="HE28" s="26">
        <v>780.81205988789293</v>
      </c>
      <c r="HF28" s="26">
        <v>1367.8248658856155</v>
      </c>
      <c r="HG28" s="26">
        <v>1967.4968485279796</v>
      </c>
      <c r="HH28" s="26">
        <v>1702.0473398412271</v>
      </c>
      <c r="HI28" s="26">
        <v>3918.0452052780388</v>
      </c>
      <c r="HJ28" s="26">
        <v>2500.7195718596358</v>
      </c>
      <c r="HK28" s="26">
        <v>915.02356480763865</v>
      </c>
      <c r="HL28" s="26">
        <v>902.74956004187766</v>
      </c>
      <c r="HM28" s="26">
        <v>160.64191614051552</v>
      </c>
      <c r="HN28" s="26">
        <v>282.3404382276197</v>
      </c>
      <c r="HO28" s="26">
        <v>293.57407918936053</v>
      </c>
      <c r="HP28" s="26">
        <v>188.50707070132998</v>
      </c>
      <c r="HQ28" s="26">
        <v>33.333343752097299</v>
      </c>
      <c r="HR28" s="2"/>
      <c r="HT28" s="21" t="b">
        <f t="shared" si="79"/>
        <v>1</v>
      </c>
      <c r="HU28" s="21" t="b">
        <f t="shared" si="80"/>
        <v>1</v>
      </c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K28" s="21" t="b">
        <f t="shared" si="95"/>
        <v>1</v>
      </c>
      <c r="IL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</row>
    <row r="29" spans="1:262" x14ac:dyDescent="0.25">
      <c r="A29" t="s">
        <v>86</v>
      </c>
      <c r="B29" s="2">
        <v>42735</v>
      </c>
      <c r="C29" s="22"/>
      <c r="D29" s="18"/>
      <c r="E29" s="11"/>
      <c r="F29" s="26">
        <v>6347.6370220591061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31.056930112316667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291.0841317494602</v>
      </c>
      <c r="AO29" s="26">
        <v>44.401676910214228</v>
      </c>
      <c r="AP29" s="26">
        <v>0.49038565880432905</v>
      </c>
      <c r="AQ29" s="26">
        <v>128.89936428897079</v>
      </c>
      <c r="AR29" s="26">
        <v>3.5853400916507296</v>
      </c>
      <c r="AS29" s="26">
        <v>49.496151540397015</v>
      </c>
      <c r="AT29" s="26">
        <v>198.34759292394605</v>
      </c>
      <c r="AU29" s="26">
        <v>36.551115606083258</v>
      </c>
      <c r="AV29" s="26">
        <v>43.246426111132777</v>
      </c>
      <c r="AW29" s="26">
        <v>101.20252709369946</v>
      </c>
      <c r="AX29" s="26">
        <v>85.612481996512557</v>
      </c>
      <c r="AY29" s="26">
        <v>0.43714104974437079</v>
      </c>
      <c r="AZ29" s="26">
        <v>0.43594667529151732</v>
      </c>
      <c r="BA29" s="26">
        <v>0.43594667529151732</v>
      </c>
      <c r="BB29" s="26">
        <v>8.9847874167418009</v>
      </c>
      <c r="BC29" s="26">
        <v>0</v>
      </c>
      <c r="BD29" s="10"/>
      <c r="BE29" s="26">
        <v>1666.9668463083324</v>
      </c>
      <c r="BF29" s="26">
        <v>1546.4457282517501</v>
      </c>
      <c r="BG29" s="26">
        <v>1145.8730348705099</v>
      </c>
      <c r="BH29" s="26">
        <v>1709.9416801310476</v>
      </c>
      <c r="BI29" s="26">
        <v>1944.0060436389394</v>
      </c>
      <c r="BJ29" s="26">
        <v>2179.7522902982378</v>
      </c>
      <c r="BK29" s="26">
        <v>2071.1016699539432</v>
      </c>
      <c r="BL29" s="26">
        <v>1008.9820725845494</v>
      </c>
      <c r="BM29" s="26">
        <v>622.00446692606204</v>
      </c>
      <c r="BN29" s="26">
        <v>627.03141749851966</v>
      </c>
      <c r="BO29" s="26">
        <v>559.33014651312374</v>
      </c>
      <c r="BP29" s="26">
        <v>306.9991501782556</v>
      </c>
      <c r="BQ29" s="26">
        <v>78.312109470915445</v>
      </c>
      <c r="BR29" s="26">
        <v>96.97696052263413</v>
      </c>
      <c r="BS29" s="26">
        <v>290.51138280267782</v>
      </c>
      <c r="BT29" s="26">
        <v>1.2078062725294942</v>
      </c>
      <c r="BU29" s="10"/>
      <c r="BV29" s="26">
        <v>5238.2074018371022</v>
      </c>
      <c r="BW29" s="26">
        <v>467.83933210978358</v>
      </c>
      <c r="BX29" s="26">
        <v>379.40792838547884</v>
      </c>
      <c r="BY29" s="26">
        <v>599.74021034546922</v>
      </c>
      <c r="BZ29" s="26">
        <v>966.83980948868248</v>
      </c>
      <c r="CA29" s="26">
        <v>896.98779784424335</v>
      </c>
      <c r="CB29" s="26">
        <v>820.75833300244335</v>
      </c>
      <c r="CC29" s="26">
        <v>2426.8847446986379</v>
      </c>
      <c r="CD29" s="26">
        <v>1786.6275150240583</v>
      </c>
      <c r="CE29" s="26">
        <v>1.9578598757824519</v>
      </c>
      <c r="CF29" s="26">
        <v>0.11469078727754151</v>
      </c>
      <c r="CG29" s="26">
        <v>0.11469079013043416</v>
      </c>
      <c r="CH29" s="26">
        <v>0.11469078727754151</v>
      </c>
      <c r="CI29" s="26">
        <v>86.078931629994059</v>
      </c>
      <c r="CJ29" s="26">
        <v>1.0421616860923172E-5</v>
      </c>
      <c r="CK29" s="26">
        <v>1.0418763968270306E-5</v>
      </c>
      <c r="CL29" s="10"/>
      <c r="CM29" s="26">
        <v>200.40019030333335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53.787109122324594</v>
      </c>
      <c r="DE29" s="26">
        <v>3.4932511341941668</v>
      </c>
      <c r="DF29" s="26">
        <v>3.2570518208311094</v>
      </c>
      <c r="DG29" s="26">
        <v>3.2312767045555675</v>
      </c>
      <c r="DH29" s="26">
        <v>15.97978034461485</v>
      </c>
      <c r="DI29" s="26">
        <v>26.046281053454042</v>
      </c>
      <c r="DJ29" s="26">
        <v>19.148738695127982</v>
      </c>
      <c r="DK29" s="26">
        <v>1.9719282166430969</v>
      </c>
      <c r="DL29" s="26">
        <v>1.2031096982327876</v>
      </c>
      <c r="DM29" s="26">
        <v>0.18532742754403916</v>
      </c>
      <c r="DN29" s="26">
        <v>8.6929659130912567E-4</v>
      </c>
      <c r="DO29" s="26">
        <v>0.52948841428506843</v>
      </c>
      <c r="DP29" s="26">
        <v>0</v>
      </c>
      <c r="DQ29" s="26">
        <v>0</v>
      </c>
      <c r="DR29" s="26">
        <v>0</v>
      </c>
      <c r="DS29" s="26">
        <v>0</v>
      </c>
      <c r="DT29" s="10"/>
      <c r="DU29" s="26">
        <v>84.501712322922657</v>
      </c>
      <c r="DV29" s="26">
        <v>63.367978206183864</v>
      </c>
      <c r="DW29" s="26">
        <v>38.48152223490532</v>
      </c>
      <c r="DX29" s="26">
        <v>237.42200122794557</v>
      </c>
      <c r="DY29" s="26">
        <v>842.31780758529442</v>
      </c>
      <c r="DZ29" s="26">
        <v>759.75154302620706</v>
      </c>
      <c r="EA29" s="26">
        <v>388.95607848934281</v>
      </c>
      <c r="EB29" s="26">
        <v>322.20664776988627</v>
      </c>
      <c r="EC29" s="26">
        <v>224.54120226421813</v>
      </c>
      <c r="ED29" s="26">
        <v>125.06144683783442</v>
      </c>
      <c r="EE29" s="26">
        <v>176.85376896930629</v>
      </c>
      <c r="EF29" s="26">
        <v>235.22581443198197</v>
      </c>
      <c r="EG29" s="26">
        <v>296.83999922210268</v>
      </c>
      <c r="EH29" s="26">
        <v>212.88482926918013</v>
      </c>
      <c r="EI29" s="26">
        <v>233.65743638975377</v>
      </c>
      <c r="EJ29" s="26">
        <v>49.999999999999993</v>
      </c>
      <c r="EK29" s="10"/>
      <c r="EL29" s="26">
        <v>3.2349423333333331</v>
      </c>
      <c r="EM29" s="26">
        <v>736.08259725930054</v>
      </c>
      <c r="EN29" s="26">
        <v>1759.1586356891794</v>
      </c>
      <c r="EO29" s="26">
        <v>49.940731208333332</v>
      </c>
      <c r="EP29" s="26">
        <v>92.241223791750002</v>
      </c>
      <c r="EQ29" s="26">
        <v>410.46569377088548</v>
      </c>
      <c r="ER29" s="26">
        <v>427.0767514375521</v>
      </c>
      <c r="ES29" s="26">
        <v>952.78064322231251</v>
      </c>
      <c r="ET29" s="26">
        <v>584.88598774866318</v>
      </c>
      <c r="EU29" s="26">
        <v>773.16060906250004</v>
      </c>
      <c r="EV29" s="26">
        <v>731.69152287500003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10"/>
      <c r="FC29" s="26">
        <v>86.696926040548831</v>
      </c>
      <c r="FD29" s="26">
        <v>205.11808786122162</v>
      </c>
      <c r="FE29" s="26">
        <v>178.5867080407881</v>
      </c>
      <c r="FF29" s="26">
        <v>105.87537968009285</v>
      </c>
      <c r="FG29" s="26">
        <v>31.698132643602769</v>
      </c>
      <c r="FH29" s="26">
        <v>63.71229784029164</v>
      </c>
      <c r="FI29" s="26">
        <v>63.71229784029164</v>
      </c>
      <c r="FJ29" s="26">
        <v>947.67727741428314</v>
      </c>
      <c r="FK29" s="26">
        <v>516.39730888918064</v>
      </c>
      <c r="FL29" s="26">
        <v>478.51794270695837</v>
      </c>
      <c r="FM29" s="26">
        <v>731.42999357775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489.10244232809816</v>
      </c>
      <c r="FU29" s="26">
        <v>24.496094305555555</v>
      </c>
      <c r="FV29" s="26">
        <v>1282.5771237238637</v>
      </c>
      <c r="FW29" s="26">
        <v>736.8355275362693</v>
      </c>
      <c r="FX29" s="26">
        <v>6.371608344527778</v>
      </c>
      <c r="FY29" s="26">
        <v>12.635336860138889</v>
      </c>
      <c r="FZ29" s="26">
        <v>162.95012860991665</v>
      </c>
      <c r="GA29" s="26">
        <v>102.82462758333334</v>
      </c>
      <c r="GB29" s="26">
        <v>26.083176513888887</v>
      </c>
      <c r="GC29" s="26">
        <v>66.24580402777778</v>
      </c>
      <c r="GD29" s="26">
        <v>60.295886111111109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8336.7449302292152</v>
      </c>
      <c r="GL29" s="26">
        <v>1590.8474051619644</v>
      </c>
      <c r="GM29" s="26">
        <v>1146.3634205293142</v>
      </c>
      <c r="GN29" s="26">
        <v>1838.8410444200185</v>
      </c>
      <c r="GO29" s="26">
        <v>1947.5913837305902</v>
      </c>
      <c r="GP29" s="26">
        <v>2229.2484418386348</v>
      </c>
      <c r="GQ29" s="26">
        <v>2269.4492628778894</v>
      </c>
      <c r="GR29" s="26">
        <v>1045.5331881906327</v>
      </c>
      <c r="GS29" s="26">
        <v>665.25089303719483</v>
      </c>
      <c r="GT29" s="26">
        <v>728.23394459221913</v>
      </c>
      <c r="GU29" s="26">
        <v>644.94262850963628</v>
      </c>
      <c r="GV29" s="26">
        <v>307.43629122799996</v>
      </c>
      <c r="GW29" s="26">
        <v>78.748056146206963</v>
      </c>
      <c r="GX29" s="26">
        <v>97.412907197925648</v>
      </c>
      <c r="GY29" s="26">
        <v>299.49617021941964</v>
      </c>
      <c r="GZ29" s="26">
        <v>1.2078062725294942</v>
      </c>
      <c r="HB29" s="26">
        <v>5580.1313559190157</v>
      </c>
      <c r="HC29" s="26">
        <v>1270.783158709462</v>
      </c>
      <c r="HD29" s="26">
        <v>2180.3051381303949</v>
      </c>
      <c r="HE29" s="26">
        <v>890.3342194863036</v>
      </c>
      <c r="HF29" s="26">
        <v>1917.3786212103416</v>
      </c>
      <c r="HG29" s="26">
        <v>2093.2513156947898</v>
      </c>
      <c r="HH29" s="26">
        <v>1655.9399016244663</v>
      </c>
      <c r="HI29" s="26">
        <v>3703.8439639074795</v>
      </c>
      <c r="HJ29" s="26">
        <v>2597.2578147351724</v>
      </c>
      <c r="HK29" s="26">
        <v>900.36524320366095</v>
      </c>
      <c r="HL29" s="26">
        <v>908.66085192817513</v>
      </c>
      <c r="HM29" s="26">
        <v>235.86999363639748</v>
      </c>
      <c r="HN29" s="26">
        <v>296.95469000938022</v>
      </c>
      <c r="HO29" s="26">
        <v>298.96376089917419</v>
      </c>
      <c r="HP29" s="26">
        <v>233.65744681137062</v>
      </c>
      <c r="HQ29" s="26">
        <v>50.000010418763964</v>
      </c>
      <c r="HT29" s="21" t="b">
        <f t="shared" si="79"/>
        <v>1</v>
      </c>
      <c r="HU29" s="21" t="b">
        <f t="shared" si="80"/>
        <v>1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K29" s="21" t="b">
        <f t="shared" si="95"/>
        <v>1</v>
      </c>
      <c r="IL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</row>
    <row r="30" spans="1:262" x14ac:dyDescent="0.25">
      <c r="A30" t="s">
        <v>87</v>
      </c>
      <c r="B30" s="2">
        <v>42825</v>
      </c>
      <c r="C30" s="22"/>
      <c r="D30" s="18"/>
      <c r="E30" s="11"/>
      <c r="F30" s="26">
        <v>6448.2605112815454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31.068774534733105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355.32997626037127</v>
      </c>
      <c r="AO30" s="26">
        <v>43.558605483969991</v>
      </c>
      <c r="AP30" s="26">
        <v>55.573171655737717</v>
      </c>
      <c r="AQ30" s="26">
        <v>0.10988244966251944</v>
      </c>
      <c r="AR30" s="26">
        <v>19.720210906439469</v>
      </c>
      <c r="AS30" s="26">
        <v>159.34530577176457</v>
      </c>
      <c r="AT30" s="26">
        <v>74.665895281670245</v>
      </c>
      <c r="AU30" s="26">
        <v>35.789883783310962</v>
      </c>
      <c r="AV30" s="26">
        <v>82.464656973394852</v>
      </c>
      <c r="AW30" s="26">
        <v>82.987054546017887</v>
      </c>
      <c r="AX30" s="26">
        <v>63.067433726371007</v>
      </c>
      <c r="AY30" s="26">
        <v>0.43594667529151726</v>
      </c>
      <c r="AZ30" s="26">
        <v>0.43594667529151726</v>
      </c>
      <c r="BA30" s="26">
        <v>0.43594667529151726</v>
      </c>
      <c r="BB30" s="26">
        <v>8.8772937159849885</v>
      </c>
      <c r="BC30" s="26">
        <v>0</v>
      </c>
      <c r="BD30" s="10"/>
      <c r="BE30" s="26">
        <v>1964.4184342270812</v>
      </c>
      <c r="BF30" s="26">
        <v>1554.7246025001075</v>
      </c>
      <c r="BG30" s="26">
        <v>1331.6044310278746</v>
      </c>
      <c r="BH30" s="26">
        <v>1646.8303150647926</v>
      </c>
      <c r="BI30" s="26">
        <v>1780.8639233431693</v>
      </c>
      <c r="BJ30" s="26">
        <v>2510.9645847357128</v>
      </c>
      <c r="BK30" s="26">
        <v>1788.0531924161346</v>
      </c>
      <c r="BL30" s="26">
        <v>1006.4838092388673</v>
      </c>
      <c r="BM30" s="26">
        <v>650.65740887406503</v>
      </c>
      <c r="BN30" s="26">
        <v>724.79939764892015</v>
      </c>
      <c r="BO30" s="26">
        <v>508.78073958761377</v>
      </c>
      <c r="BP30" s="26">
        <v>294.30173519901098</v>
      </c>
      <c r="BQ30" s="26">
        <v>78.240208599316318</v>
      </c>
      <c r="BR30" s="26">
        <v>95.47325357998858</v>
      </c>
      <c r="BS30" s="26">
        <v>297.81192481963228</v>
      </c>
      <c r="BT30" s="26">
        <v>0.78578550854362783</v>
      </c>
      <c r="BU30" s="10"/>
      <c r="BV30" s="26">
        <v>5350.7154334619509</v>
      </c>
      <c r="BW30" s="26">
        <v>479.97298047380298</v>
      </c>
      <c r="BX30" s="26">
        <v>394.65425204622858</v>
      </c>
      <c r="BY30" s="26">
        <v>783.40160218257006</v>
      </c>
      <c r="BZ30" s="26">
        <v>814.67524276434153</v>
      </c>
      <c r="CA30" s="26">
        <v>868.44784934890117</v>
      </c>
      <c r="CB30" s="26">
        <v>803.86049635092672</v>
      </c>
      <c r="CC30" s="26">
        <v>2468.4306295432934</v>
      </c>
      <c r="CD30" s="26">
        <v>1871.4734656477631</v>
      </c>
      <c r="CE30" s="26">
        <v>2.3670582192839484</v>
      </c>
      <c r="CF30" s="26">
        <v>0.11795759554132719</v>
      </c>
      <c r="CG30" s="26">
        <v>0.11795759268843453</v>
      </c>
      <c r="CH30" s="26">
        <v>0.11795759268843453</v>
      </c>
      <c r="CI30" s="26">
        <v>88.530790894555878</v>
      </c>
      <c r="CJ30" s="26">
        <v>1.0421616860923172E-5</v>
      </c>
      <c r="CK30" s="26">
        <v>1.0418763968270308E-5</v>
      </c>
      <c r="CL30" s="10"/>
      <c r="CM30" s="26">
        <v>200.4766059318265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54.273229850958593</v>
      </c>
      <c r="DE30" s="26">
        <v>3.1879216814971394</v>
      </c>
      <c r="DF30" s="26">
        <v>3.9812211865654934</v>
      </c>
      <c r="DG30" s="26">
        <v>11.584378142553588</v>
      </c>
      <c r="DH30" s="26">
        <v>8.9189451007028122</v>
      </c>
      <c r="DI30" s="26">
        <v>26.232145228138055</v>
      </c>
      <c r="DJ30" s="26">
        <v>19.31638190384005</v>
      </c>
      <c r="DK30" s="26">
        <v>2.0601538214948412</v>
      </c>
      <c r="DL30" s="26">
        <v>1.2248905981645131</v>
      </c>
      <c r="DM30" s="26">
        <v>0.19250050870746296</v>
      </c>
      <c r="DN30" s="26">
        <v>8.7167822580586313E-4</v>
      </c>
      <c r="DO30" s="26">
        <v>0.52927168554586546</v>
      </c>
      <c r="DP30" s="26">
        <v>0</v>
      </c>
      <c r="DQ30" s="26">
        <v>0</v>
      </c>
      <c r="DR30" s="26">
        <v>0</v>
      </c>
      <c r="DS30" s="26">
        <v>0</v>
      </c>
      <c r="DT30" s="10"/>
      <c r="DU30" s="26">
        <v>79.506561535896537</v>
      </c>
      <c r="DV30" s="26">
        <v>40.496590552890062</v>
      </c>
      <c r="DW30" s="26">
        <v>146.58881247046543</v>
      </c>
      <c r="DX30" s="26">
        <v>142.65318929495015</v>
      </c>
      <c r="DY30" s="26">
        <v>877.27991471930159</v>
      </c>
      <c r="DZ30" s="26">
        <v>801.60206240430932</v>
      </c>
      <c r="EA30" s="26">
        <v>429.04858620880964</v>
      </c>
      <c r="EB30" s="26">
        <v>340.9098681072316</v>
      </c>
      <c r="EC30" s="26">
        <v>244.64696489468108</v>
      </c>
      <c r="ED30" s="26">
        <v>133.15187315606309</v>
      </c>
      <c r="EE30" s="26">
        <v>198.30410665891355</v>
      </c>
      <c r="EF30" s="26">
        <v>308.5069121364532</v>
      </c>
      <c r="EG30" s="26">
        <v>300.19170385715165</v>
      </c>
      <c r="EH30" s="26">
        <v>216.28962068935229</v>
      </c>
      <c r="EI30" s="26">
        <v>278.41203121044248</v>
      </c>
      <c r="EJ30" s="26">
        <v>66.666666666666657</v>
      </c>
      <c r="EK30" s="10"/>
      <c r="EL30" s="26">
        <v>37.685522875000004</v>
      </c>
      <c r="EM30" s="26">
        <v>748.30709762222216</v>
      </c>
      <c r="EN30" s="26">
        <v>1722.6887548233371</v>
      </c>
      <c r="EO30" s="26">
        <v>41.890304270916666</v>
      </c>
      <c r="EP30" s="26">
        <v>321.81685699996876</v>
      </c>
      <c r="EQ30" s="26">
        <v>177.0767514375521</v>
      </c>
      <c r="ER30" s="26">
        <v>427.28712157647919</v>
      </c>
      <c r="ES30" s="26">
        <v>930.95082863894095</v>
      </c>
      <c r="ET30" s="26">
        <v>568.42843704730558</v>
      </c>
      <c r="EU30" s="26">
        <v>773.16060906250004</v>
      </c>
      <c r="EV30" s="26">
        <v>731.69152287500003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10"/>
      <c r="FC30" s="26">
        <v>80.045769790896799</v>
      </c>
      <c r="FD30" s="26">
        <v>194.1706010206035</v>
      </c>
      <c r="FE30" s="26">
        <v>134.21949462728409</v>
      </c>
      <c r="FF30" s="26">
        <v>123.99430602704327</v>
      </c>
      <c r="FG30" s="26">
        <v>32.044531072244439</v>
      </c>
      <c r="FH30" s="26">
        <v>63.71229784029164</v>
      </c>
      <c r="FI30" s="26">
        <v>63.726658951402754</v>
      </c>
      <c r="FJ30" s="26">
        <v>937.1808860809499</v>
      </c>
      <c r="FK30" s="26">
        <v>516.39730888918064</v>
      </c>
      <c r="FL30" s="26">
        <v>472.82252604029168</v>
      </c>
      <c r="FM30" s="26">
        <v>721.11986462106108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1188.0568203999944</v>
      </c>
      <c r="FU30" s="26">
        <v>0.636277638888889</v>
      </c>
      <c r="FV30" s="26">
        <v>479.11603695159818</v>
      </c>
      <c r="FW30" s="26">
        <v>815.12571553777695</v>
      </c>
      <c r="FX30" s="26">
        <v>6.3614797195277779</v>
      </c>
      <c r="FY30" s="26">
        <v>117.82517227680553</v>
      </c>
      <c r="FZ30" s="26">
        <v>57.273066068250003</v>
      </c>
      <c r="GA30" s="26">
        <v>102.3801404861111</v>
      </c>
      <c r="GB30" s="26">
        <v>50.938008861111115</v>
      </c>
      <c r="GC30" s="26">
        <v>56.598973749999999</v>
      </c>
      <c r="GD30" s="26">
        <v>44.448388333333334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8799.0776963037315</v>
      </c>
      <c r="GL30" s="26">
        <v>1598.2832079840775</v>
      </c>
      <c r="GM30" s="26">
        <v>1387.1776026836123</v>
      </c>
      <c r="GN30" s="26">
        <v>1646.9401975144551</v>
      </c>
      <c r="GO30" s="26">
        <v>1800.5841342496087</v>
      </c>
      <c r="GP30" s="26">
        <v>2670.3098905074776</v>
      </c>
      <c r="GQ30" s="26">
        <v>1862.7190876978048</v>
      </c>
      <c r="GR30" s="26">
        <v>1042.2736930221781</v>
      </c>
      <c r="GS30" s="26">
        <v>733.12206584745991</v>
      </c>
      <c r="GT30" s="26">
        <v>807.78645219493808</v>
      </c>
      <c r="GU30" s="26">
        <v>571.84817331398472</v>
      </c>
      <c r="GV30" s="26">
        <v>294.7376818743025</v>
      </c>
      <c r="GW30" s="26">
        <v>78.676155274607837</v>
      </c>
      <c r="GX30" s="26">
        <v>95.909200255280098</v>
      </c>
      <c r="GY30" s="26">
        <v>306.68921853561727</v>
      </c>
      <c r="GZ30" s="26">
        <v>0.78578550854362783</v>
      </c>
      <c r="HB30" s="26">
        <v>5722.6573536556316</v>
      </c>
      <c r="HC30" s="26">
        <v>1271.9645903304122</v>
      </c>
      <c r="HD30" s="26">
        <v>2267.9130405265969</v>
      </c>
      <c r="HE30" s="26">
        <v>979.5294738909904</v>
      </c>
      <c r="HF30" s="26">
        <v>2022.6909595843149</v>
      </c>
      <c r="HG30" s="26">
        <v>1873.3588084189005</v>
      </c>
      <c r="HH30" s="26">
        <v>1679.5125860400556</v>
      </c>
      <c r="HI30" s="26">
        <v>3742.3514801109604</v>
      </c>
      <c r="HJ30" s="26">
        <v>2685.7737581879142</v>
      </c>
      <c r="HK30" s="26">
        <v>908.87204094655453</v>
      </c>
      <c r="HL30" s="26">
        <v>930.11445880768065</v>
      </c>
      <c r="HM30" s="26">
        <v>309.1541414146875</v>
      </c>
      <c r="HN30" s="26">
        <v>300.30966144984006</v>
      </c>
      <c r="HO30" s="26">
        <v>304.82041158390814</v>
      </c>
      <c r="HP30" s="26">
        <v>278.41204163205936</v>
      </c>
      <c r="HQ30" s="26">
        <v>66.666677085430621</v>
      </c>
      <c r="HT30" s="21" t="b">
        <f t="shared" si="79"/>
        <v>1</v>
      </c>
      <c r="HU30" s="21" t="b">
        <f t="shared" si="80"/>
        <v>1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K30" s="21" t="b">
        <f t="shared" si="95"/>
        <v>1</v>
      </c>
      <c r="IL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</row>
    <row r="31" spans="1:262" x14ac:dyDescent="0.25">
      <c r="A31" t="s">
        <v>88</v>
      </c>
      <c r="B31" s="2">
        <v>42916</v>
      </c>
      <c r="C31" s="22"/>
      <c r="D31" s="18"/>
      <c r="E31" s="11"/>
      <c r="F31" s="26">
        <v>6605.5058126600825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31.077980542428769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353.39676601904091</v>
      </c>
      <c r="AO31" s="26">
        <v>2.2517778661060879</v>
      </c>
      <c r="AP31" s="26">
        <v>3.7025608038457634E-2</v>
      </c>
      <c r="AQ31" s="26">
        <v>102.30355642494501</v>
      </c>
      <c r="AR31" s="26">
        <v>49.227883908858168</v>
      </c>
      <c r="AS31" s="26">
        <v>126.52148311479797</v>
      </c>
      <c r="AT31" s="26">
        <v>74.666166850559136</v>
      </c>
      <c r="AU31" s="26">
        <v>57.214739000501247</v>
      </c>
      <c r="AV31" s="26">
        <v>60.990104649537905</v>
      </c>
      <c r="AW31" s="26">
        <v>145.61734722264453</v>
      </c>
      <c r="AX31" s="26">
        <v>0.43714104974437079</v>
      </c>
      <c r="AY31" s="26">
        <v>0.43594667529151726</v>
      </c>
      <c r="AZ31" s="26">
        <v>0.43594667529151726</v>
      </c>
      <c r="BA31" s="26">
        <v>0.43594667529151726</v>
      </c>
      <c r="BB31" s="26">
        <v>8.767411266322469</v>
      </c>
      <c r="BC31" s="26">
        <v>0</v>
      </c>
      <c r="BD31" s="10"/>
      <c r="BE31" s="26">
        <v>1894.6731070240344</v>
      </c>
      <c r="BF31" s="26">
        <v>1757.8736467475183</v>
      </c>
      <c r="BG31" s="26">
        <v>1250.520513982711</v>
      </c>
      <c r="BH31" s="26">
        <v>1613.7996515281486</v>
      </c>
      <c r="BI31" s="26">
        <v>2146.3085798198426</v>
      </c>
      <c r="BJ31" s="26">
        <v>2713.7846171359383</v>
      </c>
      <c r="BK31" s="26">
        <v>1536.6866904104295</v>
      </c>
      <c r="BL31" s="26">
        <v>1008.3461533852271</v>
      </c>
      <c r="BM31" s="26">
        <v>680.37401522123287</v>
      </c>
      <c r="BN31" s="26">
        <v>792.69728357157874</v>
      </c>
      <c r="BO31" s="26">
        <v>502.00974657481731</v>
      </c>
      <c r="BP31" s="26">
        <v>266.567345236579</v>
      </c>
      <c r="BQ31" s="26">
        <v>66.664824645644401</v>
      </c>
      <c r="BR31" s="26">
        <v>94.225985741905717</v>
      </c>
      <c r="BS31" s="26">
        <v>304.74358257678955</v>
      </c>
      <c r="BT31" s="26">
        <v>0.46081881875426423</v>
      </c>
      <c r="BU31" s="10"/>
      <c r="BV31" s="26">
        <v>5652.4134708195179</v>
      </c>
      <c r="BW31" s="26">
        <v>483.21057633970713</v>
      </c>
      <c r="BX31" s="26">
        <v>417.90901528346495</v>
      </c>
      <c r="BY31" s="26">
        <v>623.45176956576347</v>
      </c>
      <c r="BZ31" s="26">
        <v>879.04661710545861</v>
      </c>
      <c r="CA31" s="26">
        <v>875.23196312382402</v>
      </c>
      <c r="CB31" s="26">
        <v>809.55355573098632</v>
      </c>
      <c r="CC31" s="26">
        <v>2520.7479768911253</v>
      </c>
      <c r="CD31" s="26">
        <v>1945.4628416779046</v>
      </c>
      <c r="CE31" s="26">
        <v>2.7762474152792471</v>
      </c>
      <c r="CF31" s="26">
        <v>0.12121527843925468</v>
      </c>
      <c r="CG31" s="26">
        <v>0.12121527558636203</v>
      </c>
      <c r="CH31" s="26">
        <v>0.12121527558636203</v>
      </c>
      <c r="CI31" s="26">
        <v>90.97580337300181</v>
      </c>
      <c r="CJ31" s="26">
        <v>1.0421616860923172E-5</v>
      </c>
      <c r="CK31" s="26">
        <v>1.0418763968270306E-5</v>
      </c>
      <c r="CL31" s="10"/>
      <c r="CM31" s="26">
        <v>200.53599952986303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60.336762602180201</v>
      </c>
      <c r="DE31" s="26">
        <v>5.38188358046866</v>
      </c>
      <c r="DF31" s="26">
        <v>5.1651768259674125</v>
      </c>
      <c r="DG31" s="26">
        <v>5.5942775077089335</v>
      </c>
      <c r="DH31" s="26">
        <v>7.9767096411258995</v>
      </c>
      <c r="DI31" s="26">
        <v>26.505084317948089</v>
      </c>
      <c r="DJ31" s="26">
        <v>19.575056188367153</v>
      </c>
      <c r="DK31" s="26">
        <v>1.9453580324076003</v>
      </c>
      <c r="DL31" s="26">
        <v>0.92609011540856112</v>
      </c>
      <c r="DM31" s="26">
        <v>0.21055695692687953</v>
      </c>
      <c r="DN31" s="26">
        <v>0.52992663503246829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10"/>
      <c r="DU31" s="26">
        <v>84.480545925139126</v>
      </c>
      <c r="DV31" s="26">
        <v>43.922480337227718</v>
      </c>
      <c r="DW31" s="26">
        <v>43.291183573977051</v>
      </c>
      <c r="DX31" s="26">
        <v>757.67382689395197</v>
      </c>
      <c r="DY31" s="26">
        <v>243.18943721333869</v>
      </c>
      <c r="DZ31" s="26">
        <v>831.28772374880259</v>
      </c>
      <c r="EA31" s="26">
        <v>456.90568112647941</v>
      </c>
      <c r="EB31" s="26">
        <v>348.4673267823319</v>
      </c>
      <c r="EC31" s="26">
        <v>253.54181343300272</v>
      </c>
      <c r="ED31" s="26">
        <v>130.05483387116544</v>
      </c>
      <c r="EE31" s="26">
        <v>235.4152817136376</v>
      </c>
      <c r="EF31" s="26">
        <v>342.00266450675565</v>
      </c>
      <c r="EG31" s="26">
        <v>303.17119894453799</v>
      </c>
      <c r="EH31" s="26">
        <v>219.65555792270672</v>
      </c>
      <c r="EI31" s="26">
        <v>300.4892240841404</v>
      </c>
      <c r="EJ31" s="26">
        <v>72.222222222222214</v>
      </c>
      <c r="EK31" s="10"/>
      <c r="EL31" s="26">
        <v>3.1821987083333334</v>
      </c>
      <c r="EM31" s="26">
        <v>736.56502343204306</v>
      </c>
      <c r="EN31" s="26">
        <v>1913.5252317321945</v>
      </c>
      <c r="EO31" s="26">
        <v>50.35091952083333</v>
      </c>
      <c r="EP31" s="26">
        <v>321.40666868746877</v>
      </c>
      <c r="EQ31" s="26">
        <v>177.0767514375521</v>
      </c>
      <c r="ER31" s="26">
        <v>415.23897655564588</v>
      </c>
      <c r="ES31" s="26">
        <v>930.74376532644089</v>
      </c>
      <c r="ET31" s="26">
        <v>1288.4284370473056</v>
      </c>
      <c r="EU31" s="26">
        <v>747.16660906250002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10"/>
      <c r="FC31" s="26">
        <v>66.848993065536433</v>
      </c>
      <c r="FD31" s="26">
        <v>180.88294493769814</v>
      </c>
      <c r="FE31" s="26">
        <v>178.82197070889521</v>
      </c>
      <c r="FF31" s="26">
        <v>90.888658609467299</v>
      </c>
      <c r="FG31" s="26">
        <v>32.014165196688893</v>
      </c>
      <c r="FH31" s="26">
        <v>63.71229784029164</v>
      </c>
      <c r="FI31" s="26">
        <v>63.757024826958308</v>
      </c>
      <c r="FJ31" s="26">
        <v>937.1505202053944</v>
      </c>
      <c r="FK31" s="26">
        <v>963.24108759362491</v>
      </c>
      <c r="FL31" s="26">
        <v>741.57202260579732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471.08412098967983</v>
      </c>
      <c r="FU31" s="26">
        <v>0.21268777777777775</v>
      </c>
      <c r="FV31" s="26">
        <v>1283.5489604288937</v>
      </c>
      <c r="FW31" s="26">
        <v>725.3973072540407</v>
      </c>
      <c r="FX31" s="26">
        <v>9.3068760156111097</v>
      </c>
      <c r="FY31" s="26">
        <v>111.46769949902777</v>
      </c>
      <c r="FZ31" s="26">
        <v>57.084697205416674</v>
      </c>
      <c r="GA31" s="26">
        <v>115.23874365277777</v>
      </c>
      <c r="GB31" s="26">
        <v>37.677699305555549</v>
      </c>
      <c r="GC31" s="26">
        <v>100.25924402777778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8884.6536662455874</v>
      </c>
      <c r="GL31" s="26">
        <v>1760.1254246136243</v>
      </c>
      <c r="GM31" s="26">
        <v>1250.5575395907495</v>
      </c>
      <c r="GN31" s="26">
        <v>1716.1032079530937</v>
      </c>
      <c r="GO31" s="26">
        <v>2195.5364637287007</v>
      </c>
      <c r="GP31" s="26">
        <v>2840.3061002507361</v>
      </c>
      <c r="GQ31" s="26">
        <v>1611.3528572609887</v>
      </c>
      <c r="GR31" s="26">
        <v>1065.5608923857283</v>
      </c>
      <c r="GS31" s="26">
        <v>741.36411987077076</v>
      </c>
      <c r="GT31" s="26">
        <v>938.31463079422326</v>
      </c>
      <c r="GU31" s="26">
        <v>502.44688762456167</v>
      </c>
      <c r="GV31" s="26">
        <v>267.00329191187052</v>
      </c>
      <c r="GW31" s="26">
        <v>67.10077132093592</v>
      </c>
      <c r="GX31" s="26">
        <v>94.661932417197235</v>
      </c>
      <c r="GY31" s="26">
        <v>313.51099384311203</v>
      </c>
      <c r="GZ31" s="26">
        <v>0.46081881875426423</v>
      </c>
      <c r="HB31" s="26">
        <v>6000.9489775850334</v>
      </c>
      <c r="HC31" s="26">
        <v>1269.0799636894467</v>
      </c>
      <c r="HD31" s="26">
        <v>2379.8906074156039</v>
      </c>
      <c r="HE31" s="26">
        <v>1437.0707934882578</v>
      </c>
      <c r="HF31" s="26">
        <v>1451.6194326473919</v>
      </c>
      <c r="HG31" s="26">
        <v>1910.1015226281268</v>
      </c>
      <c r="HH31" s="26">
        <v>1701.2732696014787</v>
      </c>
      <c r="HI31" s="26">
        <v>3801.9044270323056</v>
      </c>
      <c r="HJ31" s="26">
        <v>3488.3591822736216</v>
      </c>
      <c r="HK31" s="26">
        <v>880.20824730587162</v>
      </c>
      <c r="HL31" s="26">
        <v>236.06642362710932</v>
      </c>
      <c r="HM31" s="26">
        <v>342.12387978234199</v>
      </c>
      <c r="HN31" s="26">
        <v>303.29241422012433</v>
      </c>
      <c r="HO31" s="26">
        <v>310.63136129570853</v>
      </c>
      <c r="HP31" s="26">
        <v>300.48923450575728</v>
      </c>
      <c r="HQ31" s="26">
        <v>72.222232640986178</v>
      </c>
      <c r="HT31" s="21" t="b">
        <f t="shared" si="79"/>
        <v>1</v>
      </c>
      <c r="HU31" s="21" t="b">
        <f t="shared" si="80"/>
        <v>1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K31" s="21" t="b">
        <f t="shared" si="95"/>
        <v>1</v>
      </c>
      <c r="IL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</row>
    <row r="32" spans="1:262" x14ac:dyDescent="0.25">
      <c r="A32" t="s">
        <v>89</v>
      </c>
      <c r="B32" s="2">
        <v>43008</v>
      </c>
      <c r="C32" s="22"/>
      <c r="D32" s="18"/>
      <c r="E32" s="11"/>
      <c r="F32" s="26">
        <v>6716.1855446151585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31.089697605464384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364.88871487710873</v>
      </c>
      <c r="AO32" s="26">
        <v>44.128597670912463</v>
      </c>
      <c r="AP32" s="26">
        <v>52.375443214158437</v>
      </c>
      <c r="AQ32" s="26">
        <v>16.244753264451258</v>
      </c>
      <c r="AR32" s="26">
        <v>33.093013094069427</v>
      </c>
      <c r="AS32" s="26">
        <v>143.41770170067724</v>
      </c>
      <c r="AT32" s="26">
        <v>57.769948264679854</v>
      </c>
      <c r="AU32" s="26">
        <v>73.322386862326439</v>
      </c>
      <c r="AV32" s="26">
        <v>104.88732201384467</v>
      </c>
      <c r="AW32" s="26">
        <v>85.612481996512557</v>
      </c>
      <c r="AX32" s="26">
        <v>0.43714104974437079</v>
      </c>
      <c r="AY32" s="26">
        <v>0.43594667529151732</v>
      </c>
      <c r="AZ32" s="26">
        <v>0.43594667529151732</v>
      </c>
      <c r="BA32" s="26">
        <v>0.43594667529151732</v>
      </c>
      <c r="BB32" s="26">
        <v>8.6575288166599496</v>
      </c>
      <c r="BC32" s="26">
        <v>0</v>
      </c>
      <c r="BD32" s="10"/>
      <c r="BE32" s="26">
        <v>2106.0377671462597</v>
      </c>
      <c r="BF32" s="26">
        <v>1553.1481157390397</v>
      </c>
      <c r="BG32" s="26">
        <v>1309.5577022021639</v>
      </c>
      <c r="BH32" s="26">
        <v>1551.5421150595612</v>
      </c>
      <c r="BI32" s="26">
        <v>2521.4771136809331</v>
      </c>
      <c r="BJ32" s="26">
        <v>2674.0989889798025</v>
      </c>
      <c r="BK32" s="26">
        <v>1503.0784268471709</v>
      </c>
      <c r="BL32" s="26">
        <v>1050.6260167043411</v>
      </c>
      <c r="BM32" s="26">
        <v>765.64980456701403</v>
      </c>
      <c r="BN32" s="26">
        <v>772.10248096732209</v>
      </c>
      <c r="BO32" s="26">
        <v>475.58771123216081</v>
      </c>
      <c r="BP32" s="26">
        <v>266.03679427862733</v>
      </c>
      <c r="BQ32" s="26">
        <v>65.177546417123963</v>
      </c>
      <c r="BR32" s="26">
        <v>94.798889498556676</v>
      </c>
      <c r="BS32" s="26">
        <v>311.83287416997814</v>
      </c>
      <c r="BT32" s="26">
        <v>0.24055223289142866</v>
      </c>
      <c r="BU32" s="10"/>
      <c r="BV32" s="26">
        <v>5633.3335942913964</v>
      </c>
      <c r="BW32" s="26">
        <v>511.12577935744946</v>
      </c>
      <c r="BX32" s="26">
        <v>393.27361508910849</v>
      </c>
      <c r="BY32" s="26">
        <v>654.22000107844917</v>
      </c>
      <c r="BZ32" s="26">
        <v>1107.6286456349171</v>
      </c>
      <c r="CA32" s="26">
        <v>934.46221234613745</v>
      </c>
      <c r="CB32" s="26">
        <v>599.37710135082511</v>
      </c>
      <c r="CC32" s="26">
        <v>2676.9439046371717</v>
      </c>
      <c r="CD32" s="26">
        <v>1998.0916869195103</v>
      </c>
      <c r="CE32" s="26">
        <v>3.1854984907496124</v>
      </c>
      <c r="CF32" s="26">
        <v>0.12453467174260609</v>
      </c>
      <c r="CG32" s="26">
        <v>0.12453466888971343</v>
      </c>
      <c r="CH32" s="26">
        <v>0.12453466888971343</v>
      </c>
      <c r="CI32" s="26">
        <v>93.467131811606848</v>
      </c>
      <c r="CJ32" s="26">
        <v>1.0421616860923172E-5</v>
      </c>
      <c r="CK32" s="26">
        <v>1.0418763968270306E-5</v>
      </c>
      <c r="CL32" s="10"/>
      <c r="CM32" s="26">
        <v>200.61159348493152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58.836625843846811</v>
      </c>
      <c r="DE32" s="26">
        <v>4.2100357315257808</v>
      </c>
      <c r="DF32" s="26">
        <v>4.1867240460636355</v>
      </c>
      <c r="DG32" s="26">
        <v>4.731609502827169</v>
      </c>
      <c r="DH32" s="26">
        <v>36.303940572772156</v>
      </c>
      <c r="DI32" s="26">
        <v>20.419090639896709</v>
      </c>
      <c r="DJ32" s="26">
        <v>3.814718739114781</v>
      </c>
      <c r="DK32" s="26">
        <v>2.5178377960452498</v>
      </c>
      <c r="DL32" s="26">
        <v>1.4291686134170218</v>
      </c>
      <c r="DM32" s="26">
        <v>0.22471393903899378</v>
      </c>
      <c r="DN32" s="26">
        <v>0.52970752465876836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10"/>
      <c r="DU32" s="26">
        <v>88.053453934924292</v>
      </c>
      <c r="DV32" s="26">
        <v>38.733555624234484</v>
      </c>
      <c r="DW32" s="26">
        <v>643.10183932187499</v>
      </c>
      <c r="DX32" s="26">
        <v>149.42969019893681</v>
      </c>
      <c r="DY32" s="26">
        <v>227.15028015768473</v>
      </c>
      <c r="DZ32" s="26">
        <v>852.23556248350098</v>
      </c>
      <c r="EA32" s="26">
        <v>455.100234074193</v>
      </c>
      <c r="EB32" s="26">
        <v>350.31849111293843</v>
      </c>
      <c r="EC32" s="26">
        <v>243.61603941790401</v>
      </c>
      <c r="ED32" s="26">
        <v>212.76201341109865</v>
      </c>
      <c r="EE32" s="26">
        <v>217.34255968384355</v>
      </c>
      <c r="EF32" s="26">
        <v>339.5203699559321</v>
      </c>
      <c r="EG32" s="26">
        <v>300.3208390393404</v>
      </c>
      <c r="EH32" s="26">
        <v>217.51002411746867</v>
      </c>
      <c r="EI32" s="26">
        <v>311.0482161625327</v>
      </c>
      <c r="EJ32" s="26">
        <v>72.222222222222214</v>
      </c>
      <c r="EK32" s="10"/>
      <c r="EL32" s="26">
        <v>37.892586187500001</v>
      </c>
      <c r="EM32" s="26">
        <v>749.02335676537643</v>
      </c>
      <c r="EN32" s="26">
        <v>2026.7691245977114</v>
      </c>
      <c r="EO32" s="26">
        <v>271.46593747913545</v>
      </c>
      <c r="EP32" s="26">
        <v>88.648836770916674</v>
      </c>
      <c r="EQ32" s="26">
        <v>177.0767514375521</v>
      </c>
      <c r="ER32" s="26">
        <v>1215.2389765556459</v>
      </c>
      <c r="ES32" s="26">
        <v>584.88598774866318</v>
      </c>
      <c r="ET32" s="26">
        <v>795.57810906249995</v>
      </c>
      <c r="EU32" s="26">
        <v>747.16660906250002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10"/>
      <c r="FC32" s="26">
        <v>65.082335629369794</v>
      </c>
      <c r="FD32" s="26">
        <v>194.29782562975646</v>
      </c>
      <c r="FE32" s="26">
        <v>134.26214917710013</v>
      </c>
      <c r="FF32" s="26">
        <v>124.34470236338601</v>
      </c>
      <c r="FG32" s="26">
        <v>31.667766768047219</v>
      </c>
      <c r="FH32" s="26">
        <v>63.71229784029164</v>
      </c>
      <c r="FI32" s="26">
        <v>947.67727741428314</v>
      </c>
      <c r="FJ32" s="26">
        <v>521.9542641158472</v>
      </c>
      <c r="FK32" s="26">
        <v>478.51794270695837</v>
      </c>
      <c r="FL32" s="26">
        <v>731.42999357775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1173.7922590082264</v>
      </c>
      <c r="FU32" s="26">
        <v>3.6620263888888891</v>
      </c>
      <c r="FV32" s="26">
        <v>479.07908193302893</v>
      </c>
      <c r="FW32" s="26">
        <v>815.55302721524959</v>
      </c>
      <c r="FX32" s="26">
        <v>9.3170046406111098</v>
      </c>
      <c r="FY32" s="26">
        <v>118.34674134333333</v>
      </c>
      <c r="FZ32" s="26">
        <v>129.75252936111113</v>
      </c>
      <c r="GA32" s="26">
        <v>44.707926652777779</v>
      </c>
      <c r="GB32" s="26">
        <v>66.507265277777776</v>
      </c>
      <c r="GC32" s="26">
        <v>60.832282499999998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9218.2017242439924</v>
      </c>
      <c r="GL32" s="26">
        <v>1597.2767134099522</v>
      </c>
      <c r="GM32" s="26">
        <v>1361.9331454163223</v>
      </c>
      <c r="GN32" s="26">
        <v>1567.7868683240124</v>
      </c>
      <c r="GO32" s="26">
        <v>2554.5701267750028</v>
      </c>
      <c r="GP32" s="26">
        <v>2817.5166906804798</v>
      </c>
      <c r="GQ32" s="26">
        <v>1560.8483751118508</v>
      </c>
      <c r="GR32" s="26">
        <v>1123.9484035666676</v>
      </c>
      <c r="GS32" s="26">
        <v>870.53712658085874</v>
      </c>
      <c r="GT32" s="26">
        <v>857.71496296383464</v>
      </c>
      <c r="GU32" s="26">
        <v>476.02485228190517</v>
      </c>
      <c r="GV32" s="26">
        <v>266.47274095391884</v>
      </c>
      <c r="GW32" s="26">
        <v>65.613493092415482</v>
      </c>
      <c r="GX32" s="26">
        <v>95.234836173848194</v>
      </c>
      <c r="GY32" s="26">
        <v>320.49040298663812</v>
      </c>
      <c r="GZ32" s="26">
        <v>0.24055223289142866</v>
      </c>
      <c r="HB32" s="26">
        <v>6018.7278537425991</v>
      </c>
      <c r="HC32" s="26">
        <v>1303.0927274785861</v>
      </c>
      <c r="HD32" s="26">
        <v>3067.3313030547588</v>
      </c>
      <c r="HE32" s="26">
        <v>1079.8472382593486</v>
      </c>
      <c r="HF32" s="26">
        <v>1459.7317031362909</v>
      </c>
      <c r="HG32" s="26">
        <v>1984.1936169070873</v>
      </c>
      <c r="HH32" s="26">
        <v>2273.5310307197788</v>
      </c>
      <c r="HI32" s="26">
        <v>3614.6662212948186</v>
      </c>
      <c r="HJ32" s="26">
        <v>3038.7150040133315</v>
      </c>
      <c r="HK32" s="26">
        <v>963.33883490338724</v>
      </c>
      <c r="HL32" s="26">
        <v>217.99680188024493</v>
      </c>
      <c r="HM32" s="26">
        <v>339.64490462482183</v>
      </c>
      <c r="HN32" s="26">
        <v>300.44537370823014</v>
      </c>
      <c r="HO32" s="26">
        <v>310.97715592907554</v>
      </c>
      <c r="HP32" s="26">
        <v>311.04822658414957</v>
      </c>
      <c r="HQ32" s="26">
        <v>72.222232640986178</v>
      </c>
      <c r="HT32" s="21" t="b">
        <f t="shared" si="79"/>
        <v>1</v>
      </c>
      <c r="HU32" s="21" t="b">
        <f t="shared" si="80"/>
        <v>1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K32" s="21" t="b">
        <f t="shared" si="95"/>
        <v>1</v>
      </c>
      <c r="IL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</row>
    <row r="33" spans="1:262" x14ac:dyDescent="0.25">
      <c r="A33" t="s">
        <v>90</v>
      </c>
      <c r="B33" s="2">
        <v>43100</v>
      </c>
      <c r="C33" s="22"/>
      <c r="D33" s="18"/>
      <c r="E33" s="11"/>
      <c r="F33" s="26">
        <v>6865.2536006958508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31.104965825449998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385.55187986880838</v>
      </c>
      <c r="AO33" s="26">
        <v>2.0056942818763508</v>
      </c>
      <c r="AP33" s="26">
        <v>3.3442484679897223E-2</v>
      </c>
      <c r="AQ33" s="26">
        <v>126.02927605747449</v>
      </c>
      <c r="AR33" s="26">
        <v>0.26826763153885202</v>
      </c>
      <c r="AS33" s="26">
        <v>198.34759292394605</v>
      </c>
      <c r="AT33" s="26">
        <v>36.551115606083258</v>
      </c>
      <c r="AU33" s="26">
        <v>43.246426111132777</v>
      </c>
      <c r="AV33" s="26">
        <v>101.20252709369946</v>
      </c>
      <c r="AW33" s="26">
        <v>85.612481996512557</v>
      </c>
      <c r="AX33" s="26">
        <v>0.43714104974437079</v>
      </c>
      <c r="AY33" s="26">
        <v>0.43594667529151732</v>
      </c>
      <c r="AZ33" s="26">
        <v>0.43594667529151732</v>
      </c>
      <c r="BA33" s="26">
        <v>0.43594667529151732</v>
      </c>
      <c r="BB33" s="26">
        <v>8.5488407414502845</v>
      </c>
      <c r="BC33" s="26">
        <v>0</v>
      </c>
      <c r="BD33" s="10"/>
      <c r="BE33" s="26">
        <v>1887.8630207052058</v>
      </c>
      <c r="BF33" s="26">
        <v>1813.5729741593495</v>
      </c>
      <c r="BG33" s="26">
        <v>1279.2510180853214</v>
      </c>
      <c r="BH33" s="26">
        <v>2123.8066519480149</v>
      </c>
      <c r="BI33" s="26">
        <v>2352.57362609039</v>
      </c>
      <c r="BJ33" s="26">
        <v>2565.4129682948669</v>
      </c>
      <c r="BK33" s="26">
        <v>1495.3709288914113</v>
      </c>
      <c r="BL33" s="26">
        <v>1084.6386641893503</v>
      </c>
      <c r="BM33" s="26">
        <v>880.97879635543779</v>
      </c>
      <c r="BN33" s="26">
        <v>730.50304372765288</v>
      </c>
      <c r="BO33" s="26">
        <v>456.34238061415977</v>
      </c>
      <c r="BP33" s="26">
        <v>266.85680931919609</v>
      </c>
      <c r="BQ33" s="26">
        <v>106.59919768526827</v>
      </c>
      <c r="BR33" s="26">
        <v>51.778474047048519</v>
      </c>
      <c r="BS33" s="26">
        <v>320.11635359673608</v>
      </c>
      <c r="BT33" s="26">
        <v>0.12337344616248637</v>
      </c>
      <c r="BU33" s="10"/>
      <c r="BV33" s="26">
        <v>5737.3870709097146</v>
      </c>
      <c r="BW33" s="26">
        <v>528.78640262085298</v>
      </c>
      <c r="BX33" s="26">
        <v>422.2370597430737</v>
      </c>
      <c r="BY33" s="26">
        <v>710.72546793958975</v>
      </c>
      <c r="BZ33" s="26">
        <v>1098.7550050061643</v>
      </c>
      <c r="CA33" s="26">
        <v>951.0820890371017</v>
      </c>
      <c r="CB33" s="26">
        <v>595.09457932794237</v>
      </c>
      <c r="CC33" s="26">
        <v>2782.4571364718563</v>
      </c>
      <c r="CD33" s="26">
        <v>2050.4732784950397</v>
      </c>
      <c r="CE33" s="26">
        <v>3.5946928031411276</v>
      </c>
      <c r="CF33" s="26">
        <v>0.12779745705747925</v>
      </c>
      <c r="CG33" s="26">
        <v>0.1277974542045866</v>
      </c>
      <c r="CH33" s="26">
        <v>0.1277974542045866</v>
      </c>
      <c r="CI33" s="26">
        <v>95.915973844215443</v>
      </c>
      <c r="CJ33" s="26">
        <v>1.0421616860923172E-5</v>
      </c>
      <c r="CK33" s="26">
        <v>1.0418763968270306E-5</v>
      </c>
      <c r="CL33" s="10"/>
      <c r="CM33" s="26">
        <v>200.71009813000001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58.946453785207289</v>
      </c>
      <c r="DE33" s="26">
        <v>4.0814270976127069</v>
      </c>
      <c r="DF33" s="26">
        <v>3.6469951116084629</v>
      </c>
      <c r="DG33" s="26">
        <v>5.3426777318518095</v>
      </c>
      <c r="DH33" s="26">
        <v>38.429916167721323</v>
      </c>
      <c r="DI33" s="26">
        <v>20.703156767755104</v>
      </c>
      <c r="DJ33" s="26">
        <v>3.8753447228412066</v>
      </c>
      <c r="DK33" s="26">
        <v>2.6216156600860239</v>
      </c>
      <c r="DL33" s="26">
        <v>1.4966794880601568</v>
      </c>
      <c r="DM33" s="26">
        <v>0.2349013827289595</v>
      </c>
      <c r="DN33" s="26">
        <v>0.52948841428506843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10"/>
      <c r="DU33" s="26">
        <v>115.45872431763593</v>
      </c>
      <c r="DV33" s="26">
        <v>54.576647330607869</v>
      </c>
      <c r="DW33" s="26">
        <v>58.118894340807252</v>
      </c>
      <c r="DX33" s="26">
        <v>145.58581069050845</v>
      </c>
      <c r="DY33" s="26">
        <v>684.36993222910542</v>
      </c>
      <c r="DZ33" s="26">
        <v>561.58076452246792</v>
      </c>
      <c r="EA33" s="26">
        <v>488.87861430546616</v>
      </c>
      <c r="EB33" s="26">
        <v>385.39435209324967</v>
      </c>
      <c r="EC33" s="26">
        <v>266.99193949065284</v>
      </c>
      <c r="ED33" s="26">
        <v>250.50592063999727</v>
      </c>
      <c r="EE33" s="26">
        <v>308.9275458180569</v>
      </c>
      <c r="EF33" s="26">
        <v>370.49215089279369</v>
      </c>
      <c r="EG33" s="26">
        <v>319.50270847518334</v>
      </c>
      <c r="EH33" s="26">
        <v>232.10581606749952</v>
      </c>
      <c r="EI33" s="26">
        <v>387.89982164202678</v>
      </c>
      <c r="EJ33" s="26">
        <v>105.55555555555556</v>
      </c>
      <c r="EK33" s="10"/>
      <c r="EL33" s="26">
        <v>233.38894233333335</v>
      </c>
      <c r="EM33" s="26">
        <v>736.56502343204306</v>
      </c>
      <c r="EN33" s="26">
        <v>2268.0629268170119</v>
      </c>
      <c r="EO33" s="26">
        <v>49.940731208333332</v>
      </c>
      <c r="EP33" s="26">
        <v>89.059025083416671</v>
      </c>
      <c r="EQ33" s="26">
        <v>427.0767514375521</v>
      </c>
      <c r="ER33" s="26">
        <v>952.78064322231251</v>
      </c>
      <c r="ES33" s="26">
        <v>584.88598774866318</v>
      </c>
      <c r="ET33" s="26">
        <v>773.16060906250004</v>
      </c>
      <c r="EU33" s="26">
        <v>731.69152287500003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10"/>
      <c r="FC33" s="26">
        <v>67.244627477541243</v>
      </c>
      <c r="FD33" s="26">
        <v>180.89615608828007</v>
      </c>
      <c r="FE33" s="26">
        <v>178.75119601217654</v>
      </c>
      <c r="FF33" s="26">
        <v>87.820588099208535</v>
      </c>
      <c r="FG33" s="26">
        <v>31.698132643602769</v>
      </c>
      <c r="FH33" s="26">
        <v>63.71229784029164</v>
      </c>
      <c r="FI33" s="26">
        <v>947.67727741428314</v>
      </c>
      <c r="FJ33" s="26">
        <v>516.39730888918064</v>
      </c>
      <c r="FK33" s="26">
        <v>478.51794270695837</v>
      </c>
      <c r="FL33" s="26">
        <v>731.42999357775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472.36225006734247</v>
      </c>
      <c r="FU33" s="26">
        <v>0.2141811111111111</v>
      </c>
      <c r="FV33" s="26">
        <v>1283.3083212334475</v>
      </c>
      <c r="FW33" s="26">
        <v>728.24256314395961</v>
      </c>
      <c r="FX33" s="26">
        <v>3.3284608445277777</v>
      </c>
      <c r="FY33" s="26">
        <v>162.95012860991665</v>
      </c>
      <c r="FZ33" s="26">
        <v>102.82462758333334</v>
      </c>
      <c r="GA33" s="26">
        <v>26.083176513888887</v>
      </c>
      <c r="GB33" s="26">
        <v>66.24580402777778</v>
      </c>
      <c r="GC33" s="26">
        <v>60.295886111111109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9169.7734670953141</v>
      </c>
      <c r="GL33" s="26">
        <v>1815.578668441226</v>
      </c>
      <c r="GM33" s="26">
        <v>1279.2844605700013</v>
      </c>
      <c r="GN33" s="26">
        <v>2249.8359280054892</v>
      </c>
      <c r="GO33" s="26">
        <v>2352.841893721929</v>
      </c>
      <c r="GP33" s="26">
        <v>2763.7605612188131</v>
      </c>
      <c r="GQ33" s="26">
        <v>1531.9220444974944</v>
      </c>
      <c r="GR33" s="26">
        <v>1127.8850903004829</v>
      </c>
      <c r="GS33" s="26">
        <v>982.18132344913727</v>
      </c>
      <c r="GT33" s="26">
        <v>816.11552572416542</v>
      </c>
      <c r="GU33" s="26">
        <v>456.77952166390412</v>
      </c>
      <c r="GV33" s="26">
        <v>267.29275599448761</v>
      </c>
      <c r="GW33" s="26">
        <v>107.03514436055978</v>
      </c>
      <c r="GX33" s="26">
        <v>52.214420722340037</v>
      </c>
      <c r="GY33" s="26">
        <v>328.66519433818638</v>
      </c>
      <c r="GZ33" s="26">
        <v>0.12337344616248637</v>
      </c>
      <c r="HB33" s="26">
        <v>6345.8912894758905</v>
      </c>
      <c r="HC33" s="26">
        <v>1324.0095004811167</v>
      </c>
      <c r="HD33" s="26">
        <v>2752.0658760125011</v>
      </c>
      <c r="HE33" s="26">
        <v>911.59468757028333</v>
      </c>
      <c r="HF33" s="26">
        <v>1910.6138784864077</v>
      </c>
      <c r="HG33" s="26">
        <v>1960.4427617648766</v>
      </c>
      <c r="HH33" s="26">
        <v>2040.6291815785621</v>
      </c>
      <c r="HI33" s="26">
        <v>3755.3590919738554</v>
      </c>
      <c r="HJ33" s="26">
        <v>3092.1225065362528</v>
      </c>
      <c r="HK33" s="26">
        <v>986.02703770086737</v>
      </c>
      <c r="HL33" s="26">
        <v>309.58483168939944</v>
      </c>
      <c r="HM33" s="26">
        <v>370.61994834699829</v>
      </c>
      <c r="HN33" s="26">
        <v>319.63050592938794</v>
      </c>
      <c r="HO33" s="26">
        <v>328.02178991171496</v>
      </c>
      <c r="HP33" s="26">
        <v>387.89983206364366</v>
      </c>
      <c r="HQ33" s="26">
        <v>105.55556597431952</v>
      </c>
      <c r="HT33" s="21" t="b">
        <f t="shared" si="79"/>
        <v>1</v>
      </c>
      <c r="HU33" s="21" t="b">
        <f t="shared" si="80"/>
        <v>1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K33" s="21" t="b">
        <f t="shared" si="95"/>
        <v>1</v>
      </c>
      <c r="IL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</row>
    <row r="34" spans="1:262" x14ac:dyDescent="0.25">
      <c r="E34" s="11"/>
      <c r="HW34" s="21"/>
    </row>
    <row r="35" spans="1:262" x14ac:dyDescent="0.25">
      <c r="E35" s="11"/>
    </row>
    <row r="36" spans="1:262" s="3" customFormat="1" x14ac:dyDescent="0.25">
      <c r="A36"/>
      <c r="B36" s="24"/>
      <c r="C36" s="25"/>
      <c r="D36" s="26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0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9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B36" s="28"/>
    </row>
    <row r="37" spans="1:262" x14ac:dyDescent="0.25">
      <c r="E37" s="11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</row>
    <row r="38" spans="1:262" x14ac:dyDescent="0.25">
      <c r="E38" s="11"/>
    </row>
    <row r="39" spans="1:262" x14ac:dyDescent="0.25">
      <c r="E39" s="11"/>
    </row>
    <row r="50" spans="6:225" x14ac:dyDescent="0.25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6:225" x14ac:dyDescent="0.25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6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6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6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6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6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6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6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6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6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6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6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6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180975</xdr:colOff>
                    <xdr:row>1</xdr:row>
                    <xdr:rowOff>133350</xdr:rowOff>
                  </from>
                  <to>
                    <xdr:col>6</xdr:col>
                    <xdr:colOff>228600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FF00"/>
  </sheetPr>
  <dimension ref="A1:JL67"/>
  <sheetViews>
    <sheetView zoomScale="85" zoomScaleNormal="85" workbookViewId="0">
      <pane xSplit="2" ySplit="9" topLeftCell="C10" activePane="bottomRight" state="frozen"/>
      <selection activeCell="I30" sqref="I30"/>
      <selection pane="topRight" activeCell="I30" sqref="I30"/>
      <selection pane="bottomLeft" activeCell="I30" sqref="I30"/>
      <selection pane="bottomRight" activeCell="F27" sqref="F27"/>
    </sheetView>
  </sheetViews>
  <sheetFormatPr defaultColWidth="9.140625" defaultRowHeight="15" x14ac:dyDescent="0.25"/>
  <cols>
    <col min="1" max="1" width="6.140625" bestFit="1" customWidth="1"/>
    <col min="2" max="2" width="10.85546875" bestFit="1" customWidth="1"/>
    <col min="3" max="3" width="14.5703125" customWidth="1"/>
    <col min="4" max="4" width="10" customWidth="1"/>
    <col min="5" max="5" width="9.42578125" customWidth="1"/>
    <col min="6" max="6" width="11.85546875" bestFit="1" customWidth="1"/>
    <col min="7" max="9" width="9.7109375" bestFit="1" customWidth="1"/>
    <col min="10" max="10" width="10.5703125" bestFit="1" customWidth="1"/>
    <col min="11" max="11" width="9.5703125" bestFit="1" customWidth="1"/>
    <col min="12" max="12" width="9.7109375" bestFit="1" customWidth="1"/>
    <col min="13" max="13" width="10.28515625" bestFit="1" customWidth="1"/>
    <col min="14" max="15" width="9.5703125" bestFit="1" customWidth="1"/>
    <col min="16" max="16" width="9.85546875" bestFit="1" customWidth="1"/>
    <col min="17" max="17" width="9.7109375" bestFit="1" customWidth="1"/>
    <col min="18" max="18" width="9.42578125" bestFit="1" customWidth="1"/>
    <col min="19" max="19" width="10.42578125" bestFit="1" customWidth="1"/>
    <col min="20" max="20" width="9.5703125" bestFit="1" customWidth="1"/>
    <col min="21" max="21" width="9.42578125" bestFit="1" customWidth="1"/>
    <col min="22" max="22" width="9.28515625" bestFit="1" customWidth="1"/>
    <col min="23" max="24" width="10.42578125" bestFit="1" customWidth="1"/>
    <col min="25" max="25" width="9.42578125" bestFit="1" customWidth="1"/>
    <col min="26" max="31" width="10.28515625" bestFit="1" customWidth="1"/>
    <col min="32" max="38" width="9.28515625" bestFit="1" customWidth="1"/>
    <col min="39" max="192" width="9.28515625" customWidth="1"/>
    <col min="213" max="213" width="11.5703125" bestFit="1" customWidth="1"/>
    <col min="230" max="238" width="12" bestFit="1" customWidth="1"/>
    <col min="239" max="239" width="11.85546875" customWidth="1"/>
    <col min="240" max="245" width="11.85546875" bestFit="1" customWidth="1"/>
    <col min="247" max="262" width="11.28515625" bestFit="1" customWidth="1"/>
    <col min="264" max="264" width="11.28515625" bestFit="1" customWidth="1"/>
  </cols>
  <sheetData>
    <row r="1" spans="2:264" x14ac:dyDescent="0.25">
      <c r="F1">
        <v>0</v>
      </c>
      <c r="G1">
        <f>+F1+1</f>
        <v>1</v>
      </c>
      <c r="H1">
        <f t="shared" ref="H1:U1" si="0">+G1+1</f>
        <v>2</v>
      </c>
      <c r="I1">
        <f t="shared" si="0"/>
        <v>3</v>
      </c>
      <c r="J1">
        <f t="shared" si="0"/>
        <v>4</v>
      </c>
      <c r="K1">
        <f t="shared" si="0"/>
        <v>5</v>
      </c>
      <c r="L1">
        <f t="shared" si="0"/>
        <v>6</v>
      </c>
      <c r="M1">
        <f t="shared" si="0"/>
        <v>7</v>
      </c>
      <c r="N1">
        <f t="shared" si="0"/>
        <v>8</v>
      </c>
      <c r="O1">
        <f t="shared" si="0"/>
        <v>9</v>
      </c>
      <c r="P1">
        <f t="shared" si="0"/>
        <v>10</v>
      </c>
      <c r="Q1">
        <f t="shared" si="0"/>
        <v>11</v>
      </c>
      <c r="R1">
        <f t="shared" si="0"/>
        <v>12</v>
      </c>
      <c r="S1">
        <f t="shared" si="0"/>
        <v>13</v>
      </c>
      <c r="T1">
        <f t="shared" si="0"/>
        <v>14</v>
      </c>
      <c r="U1">
        <f t="shared" si="0"/>
        <v>15</v>
      </c>
      <c r="W1">
        <v>0</v>
      </c>
      <c r="X1">
        <f>+W1+1</f>
        <v>1</v>
      </c>
      <c r="Y1">
        <f t="shared" ref="Y1:AL1" si="1">+X1+1</f>
        <v>2</v>
      </c>
      <c r="Z1">
        <f t="shared" si="1"/>
        <v>3</v>
      </c>
      <c r="AA1">
        <f t="shared" si="1"/>
        <v>4</v>
      </c>
      <c r="AB1">
        <f t="shared" si="1"/>
        <v>5</v>
      </c>
      <c r="AC1">
        <f t="shared" si="1"/>
        <v>6</v>
      </c>
      <c r="AD1">
        <f t="shared" si="1"/>
        <v>7</v>
      </c>
      <c r="AE1">
        <f t="shared" si="1"/>
        <v>8</v>
      </c>
      <c r="AF1">
        <f t="shared" si="1"/>
        <v>9</v>
      </c>
      <c r="AG1">
        <f t="shared" si="1"/>
        <v>10</v>
      </c>
      <c r="AH1">
        <f t="shared" si="1"/>
        <v>11</v>
      </c>
      <c r="AI1">
        <f t="shared" si="1"/>
        <v>12</v>
      </c>
      <c r="AJ1">
        <f t="shared" si="1"/>
        <v>13</v>
      </c>
      <c r="AK1">
        <f t="shared" si="1"/>
        <v>14</v>
      </c>
      <c r="AL1">
        <f t="shared" si="1"/>
        <v>15</v>
      </c>
      <c r="AN1">
        <v>0</v>
      </c>
      <c r="AO1">
        <f>+AN1+1</f>
        <v>1</v>
      </c>
      <c r="AP1">
        <f t="shared" ref="AP1:BC1" si="2">+AO1+1</f>
        <v>2</v>
      </c>
      <c r="AQ1">
        <f t="shared" si="2"/>
        <v>3</v>
      </c>
      <c r="AR1">
        <f t="shared" si="2"/>
        <v>4</v>
      </c>
      <c r="AS1">
        <f t="shared" si="2"/>
        <v>5</v>
      </c>
      <c r="AT1">
        <f t="shared" si="2"/>
        <v>6</v>
      </c>
      <c r="AU1">
        <f t="shared" si="2"/>
        <v>7</v>
      </c>
      <c r="AV1">
        <f t="shared" si="2"/>
        <v>8</v>
      </c>
      <c r="AW1">
        <f t="shared" si="2"/>
        <v>9</v>
      </c>
      <c r="AX1">
        <f t="shared" si="2"/>
        <v>10</v>
      </c>
      <c r="AY1">
        <f t="shared" si="2"/>
        <v>11</v>
      </c>
      <c r="AZ1">
        <f t="shared" si="2"/>
        <v>12</v>
      </c>
      <c r="BA1">
        <f t="shared" si="2"/>
        <v>13</v>
      </c>
      <c r="BB1">
        <f t="shared" si="2"/>
        <v>14</v>
      </c>
      <c r="BC1">
        <f t="shared" si="2"/>
        <v>15</v>
      </c>
      <c r="BE1">
        <v>0</v>
      </c>
      <c r="BF1">
        <f>+BE1+1</f>
        <v>1</v>
      </c>
      <c r="BG1">
        <f t="shared" ref="BG1:BT1" si="3">+BF1+1</f>
        <v>2</v>
      </c>
      <c r="BH1">
        <f t="shared" si="3"/>
        <v>3</v>
      </c>
      <c r="BI1">
        <f t="shared" si="3"/>
        <v>4</v>
      </c>
      <c r="BJ1">
        <f t="shared" si="3"/>
        <v>5</v>
      </c>
      <c r="BK1">
        <f t="shared" si="3"/>
        <v>6</v>
      </c>
      <c r="BL1">
        <f t="shared" si="3"/>
        <v>7</v>
      </c>
      <c r="BM1">
        <f t="shared" si="3"/>
        <v>8</v>
      </c>
      <c r="BN1">
        <f t="shared" si="3"/>
        <v>9</v>
      </c>
      <c r="BO1">
        <f t="shared" si="3"/>
        <v>10</v>
      </c>
      <c r="BP1">
        <f t="shared" si="3"/>
        <v>11</v>
      </c>
      <c r="BQ1">
        <f t="shared" si="3"/>
        <v>12</v>
      </c>
      <c r="BR1">
        <f t="shared" si="3"/>
        <v>13</v>
      </c>
      <c r="BS1">
        <f t="shared" si="3"/>
        <v>14</v>
      </c>
      <c r="BT1">
        <f t="shared" si="3"/>
        <v>15</v>
      </c>
      <c r="BV1">
        <v>0</v>
      </c>
      <c r="BW1">
        <f>+BV1+1</f>
        <v>1</v>
      </c>
      <c r="BX1">
        <f t="shared" ref="BX1:CK1" si="4">+BW1+1</f>
        <v>2</v>
      </c>
      <c r="BY1">
        <f t="shared" si="4"/>
        <v>3</v>
      </c>
      <c r="BZ1">
        <f t="shared" si="4"/>
        <v>4</v>
      </c>
      <c r="CA1">
        <f t="shared" si="4"/>
        <v>5</v>
      </c>
      <c r="CB1">
        <f t="shared" si="4"/>
        <v>6</v>
      </c>
      <c r="CC1">
        <f t="shared" si="4"/>
        <v>7</v>
      </c>
      <c r="CD1">
        <f t="shared" si="4"/>
        <v>8</v>
      </c>
      <c r="CE1">
        <f t="shared" si="4"/>
        <v>9</v>
      </c>
      <c r="CF1">
        <f t="shared" si="4"/>
        <v>10</v>
      </c>
      <c r="CG1">
        <f t="shared" si="4"/>
        <v>11</v>
      </c>
      <c r="CH1">
        <f t="shared" si="4"/>
        <v>12</v>
      </c>
      <c r="CI1">
        <f t="shared" si="4"/>
        <v>13</v>
      </c>
      <c r="CJ1">
        <f t="shared" si="4"/>
        <v>14</v>
      </c>
      <c r="CK1">
        <f t="shared" si="4"/>
        <v>15</v>
      </c>
      <c r="CM1">
        <v>0</v>
      </c>
      <c r="CN1">
        <f>+CM1+1</f>
        <v>1</v>
      </c>
      <c r="CO1">
        <f t="shared" ref="CO1:DB1" si="5">+CN1+1</f>
        <v>2</v>
      </c>
      <c r="CP1">
        <f t="shared" si="5"/>
        <v>3</v>
      </c>
      <c r="CQ1">
        <f t="shared" si="5"/>
        <v>4</v>
      </c>
      <c r="CR1">
        <f t="shared" si="5"/>
        <v>5</v>
      </c>
      <c r="CS1">
        <f t="shared" si="5"/>
        <v>6</v>
      </c>
      <c r="CT1">
        <f t="shared" si="5"/>
        <v>7</v>
      </c>
      <c r="CU1">
        <f t="shared" si="5"/>
        <v>8</v>
      </c>
      <c r="CV1">
        <f t="shared" si="5"/>
        <v>9</v>
      </c>
      <c r="CW1">
        <f t="shared" si="5"/>
        <v>10</v>
      </c>
      <c r="CX1">
        <f t="shared" si="5"/>
        <v>11</v>
      </c>
      <c r="CY1">
        <f t="shared" si="5"/>
        <v>12</v>
      </c>
      <c r="CZ1">
        <f t="shared" si="5"/>
        <v>13</v>
      </c>
      <c r="DA1">
        <f t="shared" si="5"/>
        <v>14</v>
      </c>
      <c r="DB1">
        <f t="shared" si="5"/>
        <v>15</v>
      </c>
      <c r="DD1">
        <v>0</v>
      </c>
      <c r="DE1">
        <f>+DD1+1</f>
        <v>1</v>
      </c>
      <c r="DF1">
        <f t="shared" ref="DF1:DS1" si="6">+DE1+1</f>
        <v>2</v>
      </c>
      <c r="DG1">
        <f t="shared" si="6"/>
        <v>3</v>
      </c>
      <c r="DH1">
        <f t="shared" si="6"/>
        <v>4</v>
      </c>
      <c r="DI1">
        <f t="shared" si="6"/>
        <v>5</v>
      </c>
      <c r="DJ1">
        <f t="shared" si="6"/>
        <v>6</v>
      </c>
      <c r="DK1">
        <f t="shared" si="6"/>
        <v>7</v>
      </c>
      <c r="DL1">
        <f t="shared" si="6"/>
        <v>8</v>
      </c>
      <c r="DM1">
        <f t="shared" si="6"/>
        <v>9</v>
      </c>
      <c r="DN1">
        <f t="shared" si="6"/>
        <v>10</v>
      </c>
      <c r="DO1">
        <f t="shared" si="6"/>
        <v>11</v>
      </c>
      <c r="DP1">
        <f t="shared" si="6"/>
        <v>12</v>
      </c>
      <c r="DQ1">
        <f t="shared" si="6"/>
        <v>13</v>
      </c>
      <c r="DR1">
        <f t="shared" si="6"/>
        <v>14</v>
      </c>
      <c r="DS1">
        <f t="shared" si="6"/>
        <v>15</v>
      </c>
      <c r="DU1">
        <v>0</v>
      </c>
      <c r="DV1">
        <f>+DU1+1</f>
        <v>1</v>
      </c>
      <c r="DW1">
        <f t="shared" ref="DW1:EJ1" si="7">+DV1+1</f>
        <v>2</v>
      </c>
      <c r="DX1">
        <f t="shared" si="7"/>
        <v>3</v>
      </c>
      <c r="DY1">
        <f t="shared" si="7"/>
        <v>4</v>
      </c>
      <c r="DZ1">
        <f t="shared" si="7"/>
        <v>5</v>
      </c>
      <c r="EA1">
        <f t="shared" si="7"/>
        <v>6</v>
      </c>
      <c r="EB1">
        <f t="shared" si="7"/>
        <v>7</v>
      </c>
      <c r="EC1">
        <f t="shared" si="7"/>
        <v>8</v>
      </c>
      <c r="ED1">
        <f t="shared" si="7"/>
        <v>9</v>
      </c>
      <c r="EE1">
        <f t="shared" si="7"/>
        <v>10</v>
      </c>
      <c r="EF1">
        <f t="shared" si="7"/>
        <v>11</v>
      </c>
      <c r="EG1">
        <f t="shared" si="7"/>
        <v>12</v>
      </c>
      <c r="EH1">
        <f t="shared" si="7"/>
        <v>13</v>
      </c>
      <c r="EI1">
        <f t="shared" si="7"/>
        <v>14</v>
      </c>
      <c r="EJ1">
        <f t="shared" si="7"/>
        <v>15</v>
      </c>
      <c r="EL1">
        <v>0</v>
      </c>
      <c r="EM1">
        <f>+EL1+1</f>
        <v>1</v>
      </c>
      <c r="EN1">
        <f t="shared" ref="EN1:FA1" si="8">+EM1+1</f>
        <v>2</v>
      </c>
      <c r="EO1">
        <f t="shared" si="8"/>
        <v>3</v>
      </c>
      <c r="EP1">
        <f t="shared" si="8"/>
        <v>4</v>
      </c>
      <c r="EQ1">
        <f t="shared" si="8"/>
        <v>5</v>
      </c>
      <c r="ER1">
        <f t="shared" si="8"/>
        <v>6</v>
      </c>
      <c r="ES1">
        <f t="shared" si="8"/>
        <v>7</v>
      </c>
      <c r="ET1">
        <f t="shared" si="8"/>
        <v>8</v>
      </c>
      <c r="EU1">
        <f t="shared" si="8"/>
        <v>9</v>
      </c>
      <c r="EV1">
        <f t="shared" si="8"/>
        <v>10</v>
      </c>
      <c r="EW1">
        <f t="shared" si="8"/>
        <v>11</v>
      </c>
      <c r="EX1">
        <f t="shared" si="8"/>
        <v>12</v>
      </c>
      <c r="EY1">
        <f t="shared" si="8"/>
        <v>13</v>
      </c>
      <c r="EZ1">
        <f t="shared" si="8"/>
        <v>14</v>
      </c>
      <c r="FA1">
        <f t="shared" si="8"/>
        <v>15</v>
      </c>
      <c r="FC1">
        <v>0</v>
      </c>
      <c r="FD1">
        <f>+FC1+1</f>
        <v>1</v>
      </c>
      <c r="FE1">
        <f t="shared" ref="FE1:FR1" si="9">+FD1+1</f>
        <v>2</v>
      </c>
      <c r="FF1">
        <f t="shared" si="9"/>
        <v>3</v>
      </c>
      <c r="FG1">
        <f t="shared" si="9"/>
        <v>4</v>
      </c>
      <c r="FH1">
        <f t="shared" si="9"/>
        <v>5</v>
      </c>
      <c r="FI1">
        <f t="shared" si="9"/>
        <v>6</v>
      </c>
      <c r="FJ1">
        <f t="shared" si="9"/>
        <v>7</v>
      </c>
      <c r="FK1">
        <f t="shared" si="9"/>
        <v>8</v>
      </c>
      <c r="FL1">
        <f t="shared" si="9"/>
        <v>9</v>
      </c>
      <c r="FM1">
        <f t="shared" si="9"/>
        <v>10</v>
      </c>
      <c r="FN1">
        <f t="shared" si="9"/>
        <v>11</v>
      </c>
      <c r="FO1">
        <f t="shared" si="9"/>
        <v>12</v>
      </c>
      <c r="FP1">
        <f t="shared" si="9"/>
        <v>13</v>
      </c>
      <c r="FQ1">
        <f t="shared" si="9"/>
        <v>14</v>
      </c>
      <c r="FR1">
        <f t="shared" si="9"/>
        <v>15</v>
      </c>
      <c r="FT1">
        <v>0</v>
      </c>
      <c r="FU1">
        <f>+FT1+1</f>
        <v>1</v>
      </c>
      <c r="FV1">
        <f t="shared" ref="FV1:GI1" si="10">+FU1+1</f>
        <v>2</v>
      </c>
      <c r="FW1">
        <f t="shared" si="10"/>
        <v>3</v>
      </c>
      <c r="FX1">
        <f t="shared" si="10"/>
        <v>4</v>
      </c>
      <c r="FY1">
        <f t="shared" si="10"/>
        <v>5</v>
      </c>
      <c r="FZ1">
        <f t="shared" si="10"/>
        <v>6</v>
      </c>
      <c r="GA1">
        <f t="shared" si="10"/>
        <v>7</v>
      </c>
      <c r="GB1">
        <f t="shared" si="10"/>
        <v>8</v>
      </c>
      <c r="GC1">
        <f t="shared" si="10"/>
        <v>9</v>
      </c>
      <c r="GD1">
        <f t="shared" si="10"/>
        <v>10</v>
      </c>
      <c r="GE1">
        <f t="shared" si="10"/>
        <v>11</v>
      </c>
      <c r="GF1">
        <f t="shared" si="10"/>
        <v>12</v>
      </c>
      <c r="GG1">
        <f t="shared" si="10"/>
        <v>13</v>
      </c>
      <c r="GH1">
        <f t="shared" si="10"/>
        <v>14</v>
      </c>
      <c r="GI1">
        <f t="shared" si="10"/>
        <v>15</v>
      </c>
      <c r="GK1">
        <v>0</v>
      </c>
      <c r="GL1">
        <f>+GK1+1</f>
        <v>1</v>
      </c>
      <c r="GM1">
        <f t="shared" ref="GM1:GZ1" si="11">+GL1+1</f>
        <v>2</v>
      </c>
      <c r="GN1">
        <f t="shared" si="11"/>
        <v>3</v>
      </c>
      <c r="GO1">
        <f t="shared" si="11"/>
        <v>4</v>
      </c>
      <c r="GP1">
        <f t="shared" si="11"/>
        <v>5</v>
      </c>
      <c r="GQ1">
        <f t="shared" si="11"/>
        <v>6</v>
      </c>
      <c r="GR1">
        <f t="shared" si="11"/>
        <v>7</v>
      </c>
      <c r="GS1">
        <f t="shared" si="11"/>
        <v>8</v>
      </c>
      <c r="GT1">
        <f t="shared" si="11"/>
        <v>9</v>
      </c>
      <c r="GU1">
        <f t="shared" si="11"/>
        <v>10</v>
      </c>
      <c r="GV1">
        <f t="shared" si="11"/>
        <v>11</v>
      </c>
      <c r="GW1">
        <f t="shared" si="11"/>
        <v>12</v>
      </c>
      <c r="GX1">
        <f t="shared" si="11"/>
        <v>13</v>
      </c>
      <c r="GY1">
        <f t="shared" si="11"/>
        <v>14</v>
      </c>
      <c r="GZ1">
        <f t="shared" si="11"/>
        <v>15</v>
      </c>
      <c r="HB1">
        <v>0</v>
      </c>
      <c r="HC1">
        <f>+HB1+1</f>
        <v>1</v>
      </c>
      <c r="HD1">
        <f t="shared" ref="HD1:HQ1" si="12">+HC1+1</f>
        <v>2</v>
      </c>
      <c r="HE1">
        <f t="shared" si="12"/>
        <v>3</v>
      </c>
      <c r="HF1">
        <f t="shared" si="12"/>
        <v>4</v>
      </c>
      <c r="HG1">
        <f t="shared" si="12"/>
        <v>5</v>
      </c>
      <c r="HH1">
        <f t="shared" si="12"/>
        <v>6</v>
      </c>
      <c r="HI1">
        <f t="shared" si="12"/>
        <v>7</v>
      </c>
      <c r="HJ1">
        <f t="shared" si="12"/>
        <v>8</v>
      </c>
      <c r="HK1">
        <f t="shared" si="12"/>
        <v>9</v>
      </c>
      <c r="HL1">
        <f t="shared" si="12"/>
        <v>10</v>
      </c>
      <c r="HM1">
        <f t="shared" si="12"/>
        <v>11</v>
      </c>
      <c r="HN1">
        <f t="shared" si="12"/>
        <v>12</v>
      </c>
      <c r="HO1">
        <f t="shared" si="12"/>
        <v>13</v>
      </c>
      <c r="HP1">
        <f t="shared" si="12"/>
        <v>14</v>
      </c>
      <c r="HQ1">
        <f t="shared" si="12"/>
        <v>15</v>
      </c>
    </row>
    <row r="2" spans="2:264" x14ac:dyDescent="0.25">
      <c r="C2" t="s">
        <v>0</v>
      </c>
      <c r="D2" s="3">
        <f>+ME!D2</f>
        <v>24</v>
      </c>
    </row>
    <row r="4" spans="2:264" x14ac:dyDescent="0.25">
      <c r="F4" s="1" t="s">
        <v>1</v>
      </c>
      <c r="G4" s="1" t="s">
        <v>2</v>
      </c>
      <c r="H4" s="1" t="s">
        <v>3</v>
      </c>
      <c r="I4" s="1" t="s">
        <v>4</v>
      </c>
      <c r="J4" s="1" t="s">
        <v>5</v>
      </c>
      <c r="K4" s="1" t="s">
        <v>6</v>
      </c>
      <c r="L4" s="1" t="s">
        <v>7</v>
      </c>
      <c r="M4" s="1" t="s">
        <v>8</v>
      </c>
      <c r="N4" s="1" t="s">
        <v>9</v>
      </c>
      <c r="O4" s="1" t="s">
        <v>27</v>
      </c>
      <c r="P4" s="1" t="s">
        <v>28</v>
      </c>
      <c r="Q4" s="1" t="s">
        <v>29</v>
      </c>
      <c r="R4" s="1" t="s">
        <v>30</v>
      </c>
      <c r="S4" s="1" t="s">
        <v>31</v>
      </c>
      <c r="T4" s="1" t="s">
        <v>10</v>
      </c>
      <c r="U4" s="1" t="s">
        <v>11</v>
      </c>
    </row>
    <row r="5" spans="2:264" x14ac:dyDescent="0.25">
      <c r="C5" t="s">
        <v>19</v>
      </c>
      <c r="F5" s="1">
        <v>1</v>
      </c>
      <c r="G5" s="1">
        <v>2</v>
      </c>
      <c r="H5" s="1">
        <v>3</v>
      </c>
      <c r="I5" s="1">
        <v>5</v>
      </c>
      <c r="J5" s="1">
        <v>9</v>
      </c>
      <c r="K5" s="1">
        <v>24</v>
      </c>
      <c r="L5" s="1">
        <v>36</v>
      </c>
      <c r="M5" s="1">
        <v>48</v>
      </c>
      <c r="N5" s="1">
        <v>60</v>
      </c>
      <c r="O5" s="1">
        <v>72</v>
      </c>
      <c r="P5" s="1">
        <v>84</v>
      </c>
      <c r="Q5" s="1">
        <v>96</v>
      </c>
      <c r="R5" s="1">
        <v>108</v>
      </c>
      <c r="S5" s="1">
        <v>120</v>
      </c>
      <c r="T5" s="1">
        <v>180</v>
      </c>
      <c r="U5" s="1">
        <f>20*12</f>
        <v>240</v>
      </c>
      <c r="AF5" t="s">
        <v>14</v>
      </c>
    </row>
    <row r="6" spans="2:264" x14ac:dyDescent="0.25">
      <c r="C6" t="s">
        <v>20</v>
      </c>
      <c r="F6" s="1">
        <v>4.1666666666666664E-2</v>
      </c>
      <c r="G6" s="1">
        <v>0.125</v>
      </c>
      <c r="H6" s="1">
        <v>0.20833333333333334</v>
      </c>
      <c r="I6" s="1">
        <v>0.375</v>
      </c>
      <c r="J6" s="1">
        <v>0.75</v>
      </c>
      <c r="K6" s="1">
        <v>1.5</v>
      </c>
      <c r="L6" s="1">
        <v>2.5</v>
      </c>
      <c r="M6" s="1">
        <v>3.5</v>
      </c>
      <c r="N6" s="1">
        <v>4.5</v>
      </c>
      <c r="O6" s="1">
        <v>5.5</v>
      </c>
      <c r="P6" s="1">
        <v>6.5</v>
      </c>
      <c r="Q6" s="1">
        <v>7.5</v>
      </c>
      <c r="R6" s="1">
        <v>8.5</v>
      </c>
      <c r="S6" s="1">
        <v>9.5</v>
      </c>
      <c r="T6" s="1">
        <v>15</v>
      </c>
      <c r="U6" s="1">
        <v>25</v>
      </c>
    </row>
    <row r="8" spans="2:264" x14ac:dyDescent="0.25">
      <c r="B8" s="3"/>
      <c r="C8" s="3"/>
      <c r="D8" s="3"/>
      <c r="E8" s="3"/>
      <c r="F8" s="3" t="s">
        <v>47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 t="s">
        <v>48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 t="s">
        <v>49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 t="s">
        <v>50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 t="s">
        <v>51</v>
      </c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 t="s">
        <v>52</v>
      </c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 t="s">
        <v>53</v>
      </c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 t="s">
        <v>54</v>
      </c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 t="s">
        <v>55</v>
      </c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 t="s">
        <v>56</v>
      </c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 t="s">
        <v>57</v>
      </c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 t="s">
        <v>58</v>
      </c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B8" s="3" t="s">
        <v>59</v>
      </c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V8" t="s">
        <v>60</v>
      </c>
      <c r="IM8" t="s">
        <v>61</v>
      </c>
    </row>
    <row r="9" spans="2:264" x14ac:dyDescent="0.25">
      <c r="B9" s="3"/>
      <c r="C9" s="3"/>
      <c r="D9" s="3"/>
      <c r="E9" s="3"/>
      <c r="F9" s="3" t="str">
        <f>+$F$4</f>
        <v>1M</v>
      </c>
      <c r="G9" s="3" t="str">
        <f>+$G$4</f>
        <v>2M</v>
      </c>
      <c r="H9" s="3" t="str">
        <f>+$H$4</f>
        <v>3M</v>
      </c>
      <c r="I9" s="3" t="str">
        <f>+$I$4</f>
        <v>4-6M</v>
      </c>
      <c r="J9" s="3" t="str">
        <f>+$J$4</f>
        <v>7M-1A</v>
      </c>
      <c r="K9" s="3" t="str">
        <f>+$K$4</f>
        <v>2A</v>
      </c>
      <c r="L9" s="3" t="str">
        <f>+$L$4</f>
        <v>3A</v>
      </c>
      <c r="M9" s="3" t="str">
        <f>+$M$4</f>
        <v>4A</v>
      </c>
      <c r="N9" s="3" t="str">
        <f>+$N$4</f>
        <v>5A</v>
      </c>
      <c r="O9" s="3" t="str">
        <f>+$O$4</f>
        <v>6A</v>
      </c>
      <c r="P9" s="3" t="str">
        <f>+$P$4</f>
        <v>7A</v>
      </c>
      <c r="Q9" s="3" t="str">
        <f>+$Q$4</f>
        <v>8A</v>
      </c>
      <c r="R9" s="3" t="str">
        <f>+$R$4</f>
        <v>9A</v>
      </c>
      <c r="S9" s="3" t="str">
        <f>+$S$4</f>
        <v>10A</v>
      </c>
      <c r="T9" s="3" t="str">
        <f>+$T$4</f>
        <v>11-20A</v>
      </c>
      <c r="U9" s="3" t="str">
        <f>+$U$4</f>
        <v>&gt; 20A</v>
      </c>
      <c r="V9" s="3"/>
      <c r="W9" s="3" t="str">
        <f>+$F$4</f>
        <v>1M</v>
      </c>
      <c r="X9" s="3" t="str">
        <f>+$G$4</f>
        <v>2M</v>
      </c>
      <c r="Y9" s="3" t="str">
        <f>+$H$4</f>
        <v>3M</v>
      </c>
      <c r="Z9" s="3" t="str">
        <f>+$I$4</f>
        <v>4-6M</v>
      </c>
      <c r="AA9" s="3" t="str">
        <f>+$J$4</f>
        <v>7M-1A</v>
      </c>
      <c r="AB9" s="3" t="str">
        <f>+$K$4</f>
        <v>2A</v>
      </c>
      <c r="AC9" s="3" t="str">
        <f>+$L$4</f>
        <v>3A</v>
      </c>
      <c r="AD9" s="3" t="str">
        <f>+$M$4</f>
        <v>4A</v>
      </c>
      <c r="AE9" s="3" t="str">
        <f>+$N$4</f>
        <v>5A</v>
      </c>
      <c r="AF9" s="3" t="str">
        <f>+$O$4</f>
        <v>6A</v>
      </c>
      <c r="AG9" s="3" t="str">
        <f>+$P$4</f>
        <v>7A</v>
      </c>
      <c r="AH9" s="3" t="str">
        <f>+$Q$4</f>
        <v>8A</v>
      </c>
      <c r="AI9" s="3" t="str">
        <f>+$R$4</f>
        <v>9A</v>
      </c>
      <c r="AJ9" s="3" t="str">
        <f>+$S$4</f>
        <v>10A</v>
      </c>
      <c r="AK9" s="3" t="str">
        <f>+$T$4</f>
        <v>11-20A</v>
      </c>
      <c r="AL9" s="3" t="str">
        <f>+$U$4</f>
        <v>&gt; 20A</v>
      </c>
      <c r="AM9" s="3"/>
      <c r="AN9" s="3" t="str">
        <f>+$F$4</f>
        <v>1M</v>
      </c>
      <c r="AO9" s="3" t="str">
        <f>+$G$4</f>
        <v>2M</v>
      </c>
      <c r="AP9" s="3" t="str">
        <f>+$H$4</f>
        <v>3M</v>
      </c>
      <c r="AQ9" s="3" t="str">
        <f>+$I$4</f>
        <v>4-6M</v>
      </c>
      <c r="AR9" s="3" t="str">
        <f>+$J$4</f>
        <v>7M-1A</v>
      </c>
      <c r="AS9" s="3" t="str">
        <f>+$K$4</f>
        <v>2A</v>
      </c>
      <c r="AT9" s="3" t="str">
        <f>+$L$4</f>
        <v>3A</v>
      </c>
      <c r="AU9" s="3" t="str">
        <f>+$M$4</f>
        <v>4A</v>
      </c>
      <c r="AV9" s="3" t="str">
        <f>+$N$4</f>
        <v>5A</v>
      </c>
      <c r="AW9" s="3" t="str">
        <f>+$O$4</f>
        <v>6A</v>
      </c>
      <c r="AX9" s="3" t="str">
        <f>+$P$4</f>
        <v>7A</v>
      </c>
      <c r="AY9" s="3" t="str">
        <f>+$Q$4</f>
        <v>8A</v>
      </c>
      <c r="AZ9" s="3" t="str">
        <f>+$R$4</f>
        <v>9A</v>
      </c>
      <c r="BA9" s="3" t="str">
        <f>+$S$4</f>
        <v>10A</v>
      </c>
      <c r="BB9" s="3" t="str">
        <f>+$T$4</f>
        <v>11-20A</v>
      </c>
      <c r="BC9" s="3" t="str">
        <f>+$U$4</f>
        <v>&gt; 20A</v>
      </c>
      <c r="BD9" s="3"/>
      <c r="BE9" s="3" t="str">
        <f>+$F$4</f>
        <v>1M</v>
      </c>
      <c r="BF9" s="3" t="str">
        <f>+$G$4</f>
        <v>2M</v>
      </c>
      <c r="BG9" s="3" t="str">
        <f>+$H$4</f>
        <v>3M</v>
      </c>
      <c r="BH9" s="3" t="str">
        <f>+$I$4</f>
        <v>4-6M</v>
      </c>
      <c r="BI9" s="3" t="str">
        <f>+$J$4</f>
        <v>7M-1A</v>
      </c>
      <c r="BJ9" s="3" t="str">
        <f>+$K$4</f>
        <v>2A</v>
      </c>
      <c r="BK9" s="3" t="str">
        <f>+$L$4</f>
        <v>3A</v>
      </c>
      <c r="BL9" s="3" t="str">
        <f>+$M$4</f>
        <v>4A</v>
      </c>
      <c r="BM9" s="3" t="str">
        <f>+$N$4</f>
        <v>5A</v>
      </c>
      <c r="BN9" s="3" t="str">
        <f>+$O$4</f>
        <v>6A</v>
      </c>
      <c r="BO9" s="3" t="str">
        <f>+$P$4</f>
        <v>7A</v>
      </c>
      <c r="BP9" s="3" t="str">
        <f>+$Q$4</f>
        <v>8A</v>
      </c>
      <c r="BQ9" s="3" t="str">
        <f>+$R$4</f>
        <v>9A</v>
      </c>
      <c r="BR9" s="3" t="str">
        <f>+$S$4</f>
        <v>10A</v>
      </c>
      <c r="BS9" s="3" t="str">
        <f>+$T$4</f>
        <v>11-20A</v>
      </c>
      <c r="BT9" s="3" t="str">
        <f>+$U$4</f>
        <v>&gt; 20A</v>
      </c>
      <c r="BU9" s="3"/>
      <c r="BV9" s="3" t="str">
        <f>+$F$4</f>
        <v>1M</v>
      </c>
      <c r="BW9" s="3" t="str">
        <f>+$G$4</f>
        <v>2M</v>
      </c>
      <c r="BX9" s="3" t="str">
        <f>+$H$4</f>
        <v>3M</v>
      </c>
      <c r="BY9" s="3" t="str">
        <f>+$I$4</f>
        <v>4-6M</v>
      </c>
      <c r="BZ9" s="3" t="str">
        <f>+$J$4</f>
        <v>7M-1A</v>
      </c>
      <c r="CA9" s="3" t="str">
        <f>+$K$4</f>
        <v>2A</v>
      </c>
      <c r="CB9" s="3" t="str">
        <f>+$L$4</f>
        <v>3A</v>
      </c>
      <c r="CC9" s="3" t="str">
        <f>+$M$4</f>
        <v>4A</v>
      </c>
      <c r="CD9" s="3" t="str">
        <f>+$N$4</f>
        <v>5A</v>
      </c>
      <c r="CE9" s="3" t="str">
        <f>+$O$4</f>
        <v>6A</v>
      </c>
      <c r="CF9" s="3" t="str">
        <f>+$P$4</f>
        <v>7A</v>
      </c>
      <c r="CG9" s="3" t="str">
        <f>+$Q$4</f>
        <v>8A</v>
      </c>
      <c r="CH9" s="3" t="str">
        <f>+$R$4</f>
        <v>9A</v>
      </c>
      <c r="CI9" s="3" t="str">
        <f>+$S$4</f>
        <v>10A</v>
      </c>
      <c r="CJ9" s="3" t="str">
        <f>+$T$4</f>
        <v>11-20A</v>
      </c>
      <c r="CK9" s="3" t="str">
        <f>+$U$4</f>
        <v>&gt; 20A</v>
      </c>
      <c r="CL9" s="3"/>
      <c r="CM9" s="3" t="str">
        <f>+$F$4</f>
        <v>1M</v>
      </c>
      <c r="CN9" s="3" t="str">
        <f>+$G$4</f>
        <v>2M</v>
      </c>
      <c r="CO9" s="3" t="str">
        <f>+$H$4</f>
        <v>3M</v>
      </c>
      <c r="CP9" s="3" t="str">
        <f>+$I$4</f>
        <v>4-6M</v>
      </c>
      <c r="CQ9" s="3" t="str">
        <f>+$J$4</f>
        <v>7M-1A</v>
      </c>
      <c r="CR9" s="3" t="str">
        <f>+$K$4</f>
        <v>2A</v>
      </c>
      <c r="CS9" s="3" t="str">
        <f>+$L$4</f>
        <v>3A</v>
      </c>
      <c r="CT9" s="3" t="str">
        <f>+$M$4</f>
        <v>4A</v>
      </c>
      <c r="CU9" s="3" t="str">
        <f>+$N$4</f>
        <v>5A</v>
      </c>
      <c r="CV9" s="3" t="str">
        <f>+$O$4</f>
        <v>6A</v>
      </c>
      <c r="CW9" s="3" t="str">
        <f>+$P$4</f>
        <v>7A</v>
      </c>
      <c r="CX9" s="3" t="str">
        <f>+$Q$4</f>
        <v>8A</v>
      </c>
      <c r="CY9" s="3" t="str">
        <f>+$R$4</f>
        <v>9A</v>
      </c>
      <c r="CZ9" s="3" t="str">
        <f>+$S$4</f>
        <v>10A</v>
      </c>
      <c r="DA9" s="3" t="str">
        <f>+$T$4</f>
        <v>11-20A</v>
      </c>
      <c r="DB9" s="3" t="str">
        <f>+$U$4</f>
        <v>&gt; 20A</v>
      </c>
      <c r="DC9" s="3"/>
      <c r="DD9" s="3" t="str">
        <f>+$F$4</f>
        <v>1M</v>
      </c>
      <c r="DE9" s="3" t="str">
        <f>+$G$4</f>
        <v>2M</v>
      </c>
      <c r="DF9" s="3" t="str">
        <f>+$H$4</f>
        <v>3M</v>
      </c>
      <c r="DG9" s="3" t="str">
        <f>+$I$4</f>
        <v>4-6M</v>
      </c>
      <c r="DH9" s="3" t="str">
        <f>+$J$4</f>
        <v>7M-1A</v>
      </c>
      <c r="DI9" s="3" t="str">
        <f>+$K$4</f>
        <v>2A</v>
      </c>
      <c r="DJ9" s="3" t="str">
        <f>+$L$4</f>
        <v>3A</v>
      </c>
      <c r="DK9" s="3" t="str">
        <f>+$M$4</f>
        <v>4A</v>
      </c>
      <c r="DL9" s="3" t="str">
        <f>+$N$4</f>
        <v>5A</v>
      </c>
      <c r="DM9" s="3" t="str">
        <f>+$O$4</f>
        <v>6A</v>
      </c>
      <c r="DN9" s="3" t="str">
        <f>+$P$4</f>
        <v>7A</v>
      </c>
      <c r="DO9" s="3" t="str">
        <f>+$Q$4</f>
        <v>8A</v>
      </c>
      <c r="DP9" s="3" t="str">
        <f>+$R$4</f>
        <v>9A</v>
      </c>
      <c r="DQ9" s="3" t="str">
        <f>+$S$4</f>
        <v>10A</v>
      </c>
      <c r="DR9" s="3" t="str">
        <f>+$T$4</f>
        <v>11-20A</v>
      </c>
      <c r="DS9" s="3" t="str">
        <f>+$U$4</f>
        <v>&gt; 20A</v>
      </c>
      <c r="DT9" s="3"/>
      <c r="DU9" s="3" t="str">
        <f>+$F$4</f>
        <v>1M</v>
      </c>
      <c r="DV9" s="3" t="str">
        <f>+$G$4</f>
        <v>2M</v>
      </c>
      <c r="DW9" s="3" t="str">
        <f>+$H$4</f>
        <v>3M</v>
      </c>
      <c r="DX9" s="3" t="str">
        <f>+$I$4</f>
        <v>4-6M</v>
      </c>
      <c r="DY9" s="3" t="str">
        <f>+$J$4</f>
        <v>7M-1A</v>
      </c>
      <c r="DZ9" s="3" t="str">
        <f>+$K$4</f>
        <v>2A</v>
      </c>
      <c r="EA9" s="3" t="str">
        <f>+$L$4</f>
        <v>3A</v>
      </c>
      <c r="EB9" s="3" t="str">
        <f>+$M$4</f>
        <v>4A</v>
      </c>
      <c r="EC9" s="3" t="str">
        <f>+$N$4</f>
        <v>5A</v>
      </c>
      <c r="ED9" s="3" t="str">
        <f>+$O$4</f>
        <v>6A</v>
      </c>
      <c r="EE9" s="3" t="str">
        <f>+$P$4</f>
        <v>7A</v>
      </c>
      <c r="EF9" s="3" t="str">
        <f>+$Q$4</f>
        <v>8A</v>
      </c>
      <c r="EG9" s="3" t="str">
        <f>+$R$4</f>
        <v>9A</v>
      </c>
      <c r="EH9" s="3" t="str">
        <f>+$S$4</f>
        <v>10A</v>
      </c>
      <c r="EI9" s="3" t="str">
        <f>+$T$4</f>
        <v>11-20A</v>
      </c>
      <c r="EJ9" s="3" t="str">
        <f>+$U$4</f>
        <v>&gt; 20A</v>
      </c>
      <c r="EK9" s="3"/>
      <c r="EL9" s="3" t="str">
        <f>+$F$4</f>
        <v>1M</v>
      </c>
      <c r="EM9" s="3" t="str">
        <f>+$G$4</f>
        <v>2M</v>
      </c>
      <c r="EN9" s="3" t="str">
        <f>+$H$4</f>
        <v>3M</v>
      </c>
      <c r="EO9" s="3" t="str">
        <f>+$I$4</f>
        <v>4-6M</v>
      </c>
      <c r="EP9" s="3" t="str">
        <f>+$J$4</f>
        <v>7M-1A</v>
      </c>
      <c r="EQ9" s="3" t="str">
        <f>+$K$4</f>
        <v>2A</v>
      </c>
      <c r="ER9" s="3" t="str">
        <f>+$L$4</f>
        <v>3A</v>
      </c>
      <c r="ES9" s="3" t="str">
        <f>+$M$4</f>
        <v>4A</v>
      </c>
      <c r="ET9" s="3" t="str">
        <f>+$N$4</f>
        <v>5A</v>
      </c>
      <c r="EU9" s="3" t="str">
        <f>+$O$4</f>
        <v>6A</v>
      </c>
      <c r="EV9" s="3" t="str">
        <f>+$P$4</f>
        <v>7A</v>
      </c>
      <c r="EW9" s="3" t="str">
        <f>+$Q$4</f>
        <v>8A</v>
      </c>
      <c r="EX9" s="3" t="str">
        <f>+$R$4</f>
        <v>9A</v>
      </c>
      <c r="EY9" s="3" t="str">
        <f>+$S$4</f>
        <v>10A</v>
      </c>
      <c r="EZ9" s="3" t="str">
        <f>+$T$4</f>
        <v>11-20A</v>
      </c>
      <c r="FA9" s="3" t="str">
        <f>+$U$4</f>
        <v>&gt; 20A</v>
      </c>
      <c r="FB9" s="3"/>
      <c r="FC9" s="3" t="str">
        <f>+$F$4</f>
        <v>1M</v>
      </c>
      <c r="FD9" s="3" t="str">
        <f>+$G$4</f>
        <v>2M</v>
      </c>
      <c r="FE9" s="3" t="str">
        <f>+$H$4</f>
        <v>3M</v>
      </c>
      <c r="FF9" s="3" t="str">
        <f>+$I$4</f>
        <v>4-6M</v>
      </c>
      <c r="FG9" s="3" t="str">
        <f>+$J$4</f>
        <v>7M-1A</v>
      </c>
      <c r="FH9" s="3" t="str">
        <f>+$K$4</f>
        <v>2A</v>
      </c>
      <c r="FI9" s="3" t="str">
        <f>+$L$4</f>
        <v>3A</v>
      </c>
      <c r="FJ9" s="3" t="str">
        <f>+$M$4</f>
        <v>4A</v>
      </c>
      <c r="FK9" s="3" t="str">
        <f>+$N$4</f>
        <v>5A</v>
      </c>
      <c r="FL9" s="3" t="str">
        <f>+$O$4</f>
        <v>6A</v>
      </c>
      <c r="FM9" s="3" t="str">
        <f>+$P$4</f>
        <v>7A</v>
      </c>
      <c r="FN9" s="3" t="str">
        <f>+$Q$4</f>
        <v>8A</v>
      </c>
      <c r="FO9" s="3" t="str">
        <f>+$R$4</f>
        <v>9A</v>
      </c>
      <c r="FP9" s="3" t="str">
        <f>+$S$4</f>
        <v>10A</v>
      </c>
      <c r="FQ9" s="3" t="str">
        <f>+$T$4</f>
        <v>11-20A</v>
      </c>
      <c r="FR9" s="3" t="str">
        <f>+$U$4</f>
        <v>&gt; 20A</v>
      </c>
      <c r="FS9" s="3"/>
      <c r="FT9" s="3" t="str">
        <f>+$F$4</f>
        <v>1M</v>
      </c>
      <c r="FU9" s="3" t="str">
        <f>+$G$4</f>
        <v>2M</v>
      </c>
      <c r="FV9" s="3" t="str">
        <f>+$H$4</f>
        <v>3M</v>
      </c>
      <c r="FW9" s="3" t="str">
        <f>+$I$4</f>
        <v>4-6M</v>
      </c>
      <c r="FX9" s="3" t="str">
        <f>+$J$4</f>
        <v>7M-1A</v>
      </c>
      <c r="FY9" s="3" t="str">
        <f>+$K$4</f>
        <v>2A</v>
      </c>
      <c r="FZ9" s="3" t="str">
        <f>+$L$4</f>
        <v>3A</v>
      </c>
      <c r="GA9" s="3" t="str">
        <f>+$M$4</f>
        <v>4A</v>
      </c>
      <c r="GB9" s="3" t="str">
        <f>+$N$4</f>
        <v>5A</v>
      </c>
      <c r="GC9" s="3" t="str">
        <f>+$O$4</f>
        <v>6A</v>
      </c>
      <c r="GD9" s="3" t="str">
        <f>+$P$4</f>
        <v>7A</v>
      </c>
      <c r="GE9" s="3" t="str">
        <f>+$Q$4</f>
        <v>8A</v>
      </c>
      <c r="GF9" s="3" t="str">
        <f>+$R$4</f>
        <v>9A</v>
      </c>
      <c r="GG9" s="3" t="str">
        <f>+$S$4</f>
        <v>10A</v>
      </c>
      <c r="GH9" s="3" t="str">
        <f>+$T$4</f>
        <v>11-20A</v>
      </c>
      <c r="GI9" s="3" t="str">
        <f>+$U$4</f>
        <v>&gt; 20A</v>
      </c>
      <c r="GJ9" s="3"/>
      <c r="GK9" s="3" t="str">
        <f>+$F$4</f>
        <v>1M</v>
      </c>
      <c r="GL9" s="3" t="str">
        <f>+$G$4</f>
        <v>2M</v>
      </c>
      <c r="GM9" s="3" t="str">
        <f>+$H$4</f>
        <v>3M</v>
      </c>
      <c r="GN9" s="3" t="str">
        <f>+$I$4</f>
        <v>4-6M</v>
      </c>
      <c r="GO9" s="3" t="str">
        <f>+$J$4</f>
        <v>7M-1A</v>
      </c>
      <c r="GP9" s="3" t="str">
        <f>+$K$4</f>
        <v>2A</v>
      </c>
      <c r="GQ9" s="3" t="str">
        <f>+$L$4</f>
        <v>3A</v>
      </c>
      <c r="GR9" s="3" t="str">
        <f>+$M$4</f>
        <v>4A</v>
      </c>
      <c r="GS9" s="3" t="str">
        <f>+$N$4</f>
        <v>5A</v>
      </c>
      <c r="GT9" s="3" t="str">
        <f>+$O$4</f>
        <v>6A</v>
      </c>
      <c r="GU9" s="3" t="str">
        <f>+$P$4</f>
        <v>7A</v>
      </c>
      <c r="GV9" s="3" t="str">
        <f>+$Q$4</f>
        <v>8A</v>
      </c>
      <c r="GW9" s="3" t="str">
        <f>+$R$4</f>
        <v>9A</v>
      </c>
      <c r="GX9" s="3" t="str">
        <f>+$S$4</f>
        <v>10A</v>
      </c>
      <c r="GY9" s="3" t="str">
        <f>+$T$4</f>
        <v>11-20A</v>
      </c>
      <c r="GZ9" s="3" t="str">
        <f>+$U$4</f>
        <v>&gt; 20A</v>
      </c>
      <c r="HB9" s="3" t="str">
        <f>+$F$4</f>
        <v>1M</v>
      </c>
      <c r="HC9" s="3" t="str">
        <f>+$G$4</f>
        <v>2M</v>
      </c>
      <c r="HD9" s="3" t="str">
        <f>+$H$4</f>
        <v>3M</v>
      </c>
      <c r="HE9" s="3" t="str">
        <f>+$I$4</f>
        <v>4-6M</v>
      </c>
      <c r="HF9" s="3" t="str">
        <f>+$J$4</f>
        <v>7M-1A</v>
      </c>
      <c r="HG9" s="3" t="str">
        <f>+$K$4</f>
        <v>2A</v>
      </c>
      <c r="HH9" s="3" t="str">
        <f>+$L$4</f>
        <v>3A</v>
      </c>
      <c r="HI9" s="3" t="str">
        <f>+$M$4</f>
        <v>4A</v>
      </c>
      <c r="HJ9" s="3" t="str">
        <f>+$N$4</f>
        <v>5A</v>
      </c>
      <c r="HK9" s="3" t="str">
        <f>+$O$4</f>
        <v>6A</v>
      </c>
      <c r="HL9" s="3" t="str">
        <f>+$P$4</f>
        <v>7A</v>
      </c>
      <c r="HM9" s="3" t="str">
        <f>+$Q$4</f>
        <v>8A</v>
      </c>
      <c r="HN9" s="3" t="str">
        <f>+$R$4</f>
        <v>9A</v>
      </c>
      <c r="HO9" s="3" t="str">
        <f>+$S$4</f>
        <v>10A</v>
      </c>
      <c r="HP9" s="3" t="str">
        <f>+$T$4</f>
        <v>11-20A</v>
      </c>
      <c r="HQ9" s="3" t="str">
        <f>+$U$4</f>
        <v>&gt; 20A</v>
      </c>
      <c r="HS9" s="3" t="s">
        <v>62</v>
      </c>
      <c r="HT9" s="3" t="s">
        <v>62</v>
      </c>
      <c r="HV9" s="3" t="str">
        <f>+$F$4</f>
        <v>1M</v>
      </c>
      <c r="HW9" s="3" t="str">
        <f>+$G$4</f>
        <v>2M</v>
      </c>
      <c r="HX9" s="3" t="str">
        <f>+$H$4</f>
        <v>3M</v>
      </c>
      <c r="HY9" s="3" t="str">
        <f>+$I$4</f>
        <v>4-6M</v>
      </c>
      <c r="HZ9" s="3" t="str">
        <f>+$J$4</f>
        <v>7M-1A</v>
      </c>
      <c r="IA9" s="3" t="str">
        <f>+$K$4</f>
        <v>2A</v>
      </c>
      <c r="IB9" s="3" t="str">
        <f>+$L$4</f>
        <v>3A</v>
      </c>
      <c r="IC9" s="3" t="str">
        <f>+$M$4</f>
        <v>4A</v>
      </c>
      <c r="ID9" s="3" t="str">
        <f>+$N$4</f>
        <v>5A</v>
      </c>
      <c r="IE9" s="3" t="str">
        <f>+$O$4</f>
        <v>6A</v>
      </c>
      <c r="IF9" s="3" t="str">
        <f>+$P$4</f>
        <v>7A</v>
      </c>
      <c r="IG9" s="3" t="str">
        <f>+$Q$4</f>
        <v>8A</v>
      </c>
      <c r="IH9" s="3" t="str">
        <f>+$R$4</f>
        <v>9A</v>
      </c>
      <c r="II9" s="3" t="str">
        <f>+$S$4</f>
        <v>10A</v>
      </c>
      <c r="IJ9" s="3" t="str">
        <f>+$T$4</f>
        <v>11-20A</v>
      </c>
      <c r="IK9" s="3" t="str">
        <f>+$U$4</f>
        <v>&gt; 20A</v>
      </c>
      <c r="IM9" s="3" t="str">
        <f>+$F$4</f>
        <v>1M</v>
      </c>
      <c r="IN9" s="3" t="str">
        <f>+$G$4</f>
        <v>2M</v>
      </c>
      <c r="IO9" s="3" t="str">
        <f>+$H$4</f>
        <v>3M</v>
      </c>
      <c r="IP9" s="3" t="str">
        <f>+$I$4</f>
        <v>4-6M</v>
      </c>
      <c r="IQ9" s="3" t="str">
        <f>+$J$4</f>
        <v>7M-1A</v>
      </c>
      <c r="IR9" s="3" t="str">
        <f>+$K$4</f>
        <v>2A</v>
      </c>
      <c r="IS9" s="3" t="str">
        <f>+$L$4</f>
        <v>3A</v>
      </c>
      <c r="IT9" s="3" t="str">
        <f>+$M$4</f>
        <v>4A</v>
      </c>
      <c r="IU9" s="3" t="str">
        <f>+$N$4</f>
        <v>5A</v>
      </c>
      <c r="IV9" s="3" t="str">
        <f>+$O$4</f>
        <v>6A</v>
      </c>
      <c r="IW9" s="3" t="str">
        <f>+$P$4</f>
        <v>7A</v>
      </c>
      <c r="IX9" s="3" t="str">
        <f>+$Q$4</f>
        <v>8A</v>
      </c>
      <c r="IY9" s="3" t="str">
        <f>+$R$4</f>
        <v>9A</v>
      </c>
      <c r="IZ9" s="3" t="str">
        <f>+$S$4</f>
        <v>10A</v>
      </c>
      <c r="JA9" s="3" t="str">
        <f>+$T$4</f>
        <v>11-20A</v>
      </c>
      <c r="JB9" s="3" t="str">
        <f>+$U$4</f>
        <v>&gt; 20A</v>
      </c>
    </row>
    <row r="10" spans="2:264" x14ac:dyDescent="0.25">
      <c r="B10" s="24">
        <v>41578</v>
      </c>
      <c r="C10" s="25"/>
      <c r="D10" s="26"/>
      <c r="E10" s="10"/>
      <c r="F10" s="12">
        <v>2203.8751816792046</v>
      </c>
      <c r="G10" s="12">
        <v>66.272912222222217</v>
      </c>
      <c r="H10" s="12">
        <v>8.1905000000000001</v>
      </c>
      <c r="I10" s="12">
        <v>0</v>
      </c>
      <c r="J10" s="12">
        <v>101.53804166666666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20"/>
      <c r="W10" s="12">
        <v>50.023611111111109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/>
      <c r="AN10" s="12">
        <v>274.32117927041429</v>
      </c>
      <c r="AO10" s="12">
        <v>141.05512818464675</v>
      </c>
      <c r="AP10" s="12">
        <v>845.10272259847693</v>
      </c>
      <c r="AQ10" s="12">
        <v>3113.136132785693</v>
      </c>
      <c r="AR10" s="12">
        <v>1229.5629383782232</v>
      </c>
      <c r="AS10" s="12">
        <v>347.1769968824953</v>
      </c>
      <c r="AT10" s="12">
        <v>4.3934150275555552</v>
      </c>
      <c r="AU10" s="12">
        <v>278.38573458151524</v>
      </c>
      <c r="AV10" s="12">
        <v>0</v>
      </c>
      <c r="AW10" s="12">
        <v>221.20142504585706</v>
      </c>
      <c r="AX10" s="12">
        <v>221.20142504585706</v>
      </c>
      <c r="AY10" s="12">
        <v>221.20142504585706</v>
      </c>
      <c r="AZ10" s="12">
        <v>221.20142504585706</v>
      </c>
      <c r="BA10" s="12">
        <v>221.20142504585706</v>
      </c>
      <c r="BB10" s="12">
        <v>35.452745052111162</v>
      </c>
      <c r="BC10" s="12">
        <v>0</v>
      </c>
      <c r="BD10" s="12"/>
      <c r="BE10" s="12">
        <v>2903.0408125993699</v>
      </c>
      <c r="BF10" s="12">
        <v>1837.8997090235225</v>
      </c>
      <c r="BG10" s="12">
        <v>1776.5529519074287</v>
      </c>
      <c r="BH10" s="12">
        <v>3373.1876224344792</v>
      </c>
      <c r="BI10" s="12">
        <v>5020.2296209960186</v>
      </c>
      <c r="BJ10" s="12">
        <v>7371.5530112135084</v>
      </c>
      <c r="BK10" s="12">
        <v>4557.6197121864134</v>
      </c>
      <c r="BL10" s="12">
        <v>1597.3148760197189</v>
      </c>
      <c r="BM10" s="12">
        <v>1219.1415318739691</v>
      </c>
      <c r="BN10" s="12">
        <v>673.15295436068391</v>
      </c>
      <c r="BO10" s="12">
        <v>673.15295436068391</v>
      </c>
      <c r="BP10" s="12">
        <v>673.15295436068391</v>
      </c>
      <c r="BQ10" s="12">
        <v>673.15295436068391</v>
      </c>
      <c r="BR10" s="12">
        <v>673.15295436068391</v>
      </c>
      <c r="BS10" s="12">
        <v>2159.1726996741754</v>
      </c>
      <c r="BT10" s="12">
        <v>122.4787181199066</v>
      </c>
      <c r="BU10" s="12"/>
      <c r="BV10" s="12">
        <v>11872.518594646977</v>
      </c>
      <c r="BW10" s="12">
        <v>2087.5871665217664</v>
      </c>
      <c r="BX10" s="12">
        <v>1702.2661401859591</v>
      </c>
      <c r="BY10" s="12">
        <v>1768.2958048757687</v>
      </c>
      <c r="BZ10" s="12">
        <v>1440.3196172770536</v>
      </c>
      <c r="CA10" s="12">
        <v>3071.1386434095634</v>
      </c>
      <c r="CB10" s="12">
        <v>2308.8057301183208</v>
      </c>
      <c r="CC10" s="12">
        <v>3319.8747542612027</v>
      </c>
      <c r="CD10" s="12">
        <v>1451.385798852501</v>
      </c>
      <c r="CE10" s="12">
        <v>519.29405998715799</v>
      </c>
      <c r="CF10" s="12">
        <v>519.29405998715799</v>
      </c>
      <c r="CG10" s="12">
        <v>519.29405998715799</v>
      </c>
      <c r="CH10" s="12">
        <v>519.29405998715799</v>
      </c>
      <c r="CI10" s="12">
        <v>519.29405998715799</v>
      </c>
      <c r="CJ10" s="12">
        <v>4.8706607826919375E-5</v>
      </c>
      <c r="CK10" s="12">
        <v>4.8693274509693286E-5</v>
      </c>
      <c r="CL10" s="12"/>
      <c r="CM10" s="12">
        <v>170.08027777777778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/>
      <c r="DD10" s="12">
        <v>115.58026133891337</v>
      </c>
      <c r="DE10" s="12">
        <v>22.85798453180189</v>
      </c>
      <c r="DF10" s="12">
        <v>1.6536795406854752</v>
      </c>
      <c r="DG10" s="12">
        <v>12.723551962558119</v>
      </c>
      <c r="DH10" s="12">
        <v>3.8441075739750525</v>
      </c>
      <c r="DI10" s="12">
        <v>18.449653262124091</v>
      </c>
      <c r="DJ10" s="12">
        <v>13.089568251086728</v>
      </c>
      <c r="DK10" s="12">
        <v>25.365470022369291</v>
      </c>
      <c r="DL10" s="12">
        <v>3.5993217438210618</v>
      </c>
      <c r="DM10" s="12">
        <v>3.054869136532945</v>
      </c>
      <c r="DN10" s="12">
        <v>3.054869136532945</v>
      </c>
      <c r="DO10" s="12">
        <v>3.054869136532945</v>
      </c>
      <c r="DP10" s="12">
        <v>3.054869136532945</v>
      </c>
      <c r="DQ10" s="12">
        <v>3.054869136532945</v>
      </c>
      <c r="DR10" s="12">
        <v>4.0952806253624797E-15</v>
      </c>
      <c r="DS10" s="12">
        <v>4.0941595521006778E-15</v>
      </c>
      <c r="DT10" s="12"/>
      <c r="DU10" s="12">
        <v>3.7678909209506894</v>
      </c>
      <c r="DV10" s="12">
        <v>3.9161535589190355</v>
      </c>
      <c r="DW10" s="12">
        <v>4.0672668647477046</v>
      </c>
      <c r="DX10" s="12">
        <v>39.094095775823789</v>
      </c>
      <c r="DY10" s="12">
        <v>539.48410191608264</v>
      </c>
      <c r="DZ10" s="12">
        <v>67.033516701876721</v>
      </c>
      <c r="EA10" s="12">
        <v>78.628564137116925</v>
      </c>
      <c r="EB10" s="12">
        <v>91.846611237231059</v>
      </c>
      <c r="EC10" s="12">
        <v>106.16022840537951</v>
      </c>
      <c r="ED10" s="12">
        <v>136.84566080737181</v>
      </c>
      <c r="EE10" s="12">
        <v>136.84566080737181</v>
      </c>
      <c r="EF10" s="12">
        <v>136.84566080737181</v>
      </c>
      <c r="EG10" s="12">
        <v>136.84566080737181</v>
      </c>
      <c r="EH10" s="12">
        <v>136.84566080737181</v>
      </c>
      <c r="EI10" s="12">
        <v>1121.5322667019902</v>
      </c>
      <c r="EJ10" s="12">
        <v>0</v>
      </c>
      <c r="EK10" s="12"/>
      <c r="EL10" s="12">
        <v>15.430275777777776</v>
      </c>
      <c r="EM10" s="12">
        <v>36.870080416666667</v>
      </c>
      <c r="EN10" s="12">
        <v>1.8556527777777778</v>
      </c>
      <c r="EO10" s="12">
        <v>53.230571280666453</v>
      </c>
      <c r="EP10" s="12">
        <v>161.34581694168557</v>
      </c>
      <c r="EQ10" s="12">
        <v>280.95162545945828</v>
      </c>
      <c r="ER10" s="12">
        <v>101.88608468333331</v>
      </c>
      <c r="ES10" s="12">
        <v>708.88559629166662</v>
      </c>
      <c r="ET10" s="12">
        <v>354.45557756944442</v>
      </c>
      <c r="EU10" s="12">
        <v>137.31198851111114</v>
      </c>
      <c r="EV10" s="12">
        <v>137.31198851111114</v>
      </c>
      <c r="EW10" s="12">
        <v>137.31198851111114</v>
      </c>
      <c r="EX10" s="12">
        <v>137.31198851111114</v>
      </c>
      <c r="EY10" s="12">
        <v>137.31198851111114</v>
      </c>
      <c r="EZ10" s="12">
        <v>18.785694500000002</v>
      </c>
      <c r="FA10" s="12">
        <v>0</v>
      </c>
      <c r="FB10" s="12"/>
      <c r="FC10" s="12">
        <v>0</v>
      </c>
      <c r="FD10" s="12">
        <v>27.609160624999998</v>
      </c>
      <c r="FE10" s="12">
        <v>0</v>
      </c>
      <c r="FF10" s="12">
        <v>16.081846784518593</v>
      </c>
      <c r="FG10" s="12">
        <v>42.336347999906131</v>
      </c>
      <c r="FH10" s="12">
        <v>40.982607074096272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/>
      <c r="FT10" s="12">
        <v>0.20568231079269991</v>
      </c>
      <c r="FU10" s="12">
        <v>0</v>
      </c>
      <c r="FV10" s="12">
        <v>4.4390165003022224</v>
      </c>
      <c r="FW10" s="12">
        <v>4.5481984523926995</v>
      </c>
      <c r="FX10" s="12">
        <v>9.2344404109650569</v>
      </c>
      <c r="FY10" s="12">
        <v>18.42733767445268</v>
      </c>
      <c r="FZ10" s="12">
        <v>18.477823531095016</v>
      </c>
      <c r="GA10" s="12">
        <v>18.42733767445268</v>
      </c>
      <c r="GB10" s="12">
        <v>18.42733767445268</v>
      </c>
      <c r="GC10" s="12">
        <v>52.780638711001416</v>
      </c>
      <c r="GD10" s="12">
        <v>52.780638711001416</v>
      </c>
      <c r="GE10" s="12">
        <v>52.780638711001416</v>
      </c>
      <c r="GF10" s="12">
        <v>52.780638711001416</v>
      </c>
      <c r="GG10" s="12">
        <v>52.780638711001416</v>
      </c>
      <c r="GH10" s="12">
        <v>0</v>
      </c>
      <c r="GI10" s="12">
        <v>0</v>
      </c>
      <c r="GJ10" s="12"/>
      <c r="GK10" s="12">
        <v>5431.2607846601004</v>
      </c>
      <c r="GL10" s="12">
        <v>2045.2277494303914</v>
      </c>
      <c r="GM10" s="12">
        <v>2629.8461745059058</v>
      </c>
      <c r="GN10" s="12">
        <v>6486.3237552201717</v>
      </c>
      <c r="GO10" s="12">
        <v>6351.3306010409087</v>
      </c>
      <c r="GP10" s="12">
        <v>7718.730008096004</v>
      </c>
      <c r="GQ10" s="12">
        <v>4562.0131272139688</v>
      </c>
      <c r="GR10" s="12">
        <v>1875.7006106012341</v>
      </c>
      <c r="GS10" s="12">
        <v>1219.1415318739691</v>
      </c>
      <c r="GT10" s="12">
        <v>894.35437940654106</v>
      </c>
      <c r="GU10" s="12">
        <v>894.35437940654106</v>
      </c>
      <c r="GV10" s="12">
        <v>894.35437940654106</v>
      </c>
      <c r="GW10" s="12">
        <v>894.35437940654106</v>
      </c>
      <c r="GX10" s="12">
        <v>894.35437940654106</v>
      </c>
      <c r="GY10" s="12">
        <v>2194.6254447262868</v>
      </c>
      <c r="GZ10" s="12">
        <v>122.4787181199066</v>
      </c>
      <c r="HB10" s="12">
        <v>12177.377300462396</v>
      </c>
      <c r="HC10" s="12">
        <v>2151.2313850291539</v>
      </c>
      <c r="HD10" s="12">
        <v>1709.8427393691702</v>
      </c>
      <c r="HE10" s="12">
        <v>1873.3440238948169</v>
      </c>
      <c r="HF10" s="12">
        <v>2144.9936437087968</v>
      </c>
      <c r="HG10" s="12">
        <v>3437.5734388330225</v>
      </c>
      <c r="HH10" s="12">
        <v>2502.4099471898576</v>
      </c>
      <c r="HI10" s="12">
        <v>4145.9724318124699</v>
      </c>
      <c r="HJ10" s="12">
        <v>1915.6009265711459</v>
      </c>
      <c r="HK10" s="12">
        <v>796.50657844217392</v>
      </c>
      <c r="HL10" s="12">
        <v>796.50657844217392</v>
      </c>
      <c r="HM10" s="12">
        <v>796.50657844217392</v>
      </c>
      <c r="HN10" s="12">
        <v>796.50657844217392</v>
      </c>
      <c r="HO10" s="12">
        <v>796.50657844217392</v>
      </c>
      <c r="HP10" s="12">
        <v>1140.3180099085982</v>
      </c>
      <c r="HQ10" s="12">
        <v>4.8693274513787444E-5</v>
      </c>
      <c r="HR10" s="6"/>
      <c r="HS10" s="12"/>
      <c r="HT10" s="12"/>
      <c r="HV10" s="21" t="b">
        <f>+GK10=F10+W10+AN10+BE10</f>
        <v>1</v>
      </c>
      <c r="HW10" s="21" t="b">
        <f t="shared" ref="HW10:IK17" si="13">+GL10=G10+X10+AO10+BF10</f>
        <v>1</v>
      </c>
      <c r="HX10" s="21" t="b">
        <f t="shared" si="13"/>
        <v>1</v>
      </c>
      <c r="HY10" s="21" t="b">
        <f t="shared" si="13"/>
        <v>1</v>
      </c>
      <c r="HZ10" s="21" t="b">
        <f t="shared" si="13"/>
        <v>1</v>
      </c>
      <c r="IA10" s="21" t="b">
        <f t="shared" si="13"/>
        <v>1</v>
      </c>
      <c r="IB10" s="21" t="b">
        <f t="shared" si="13"/>
        <v>1</v>
      </c>
      <c r="IC10" s="21" t="b">
        <f t="shared" si="13"/>
        <v>1</v>
      </c>
      <c r="ID10" s="21" t="b">
        <f t="shared" si="13"/>
        <v>1</v>
      </c>
      <c r="IE10" s="21" t="b">
        <f t="shared" si="13"/>
        <v>1</v>
      </c>
      <c r="IF10" s="21" t="b">
        <f t="shared" si="13"/>
        <v>1</v>
      </c>
      <c r="IG10" s="21" t="b">
        <f t="shared" si="13"/>
        <v>1</v>
      </c>
      <c r="IH10" s="21" t="b">
        <f t="shared" si="13"/>
        <v>1</v>
      </c>
      <c r="II10" s="21" t="b">
        <f t="shared" si="13"/>
        <v>1</v>
      </c>
      <c r="IJ10" s="21" t="b">
        <f t="shared" si="13"/>
        <v>1</v>
      </c>
      <c r="IK10" s="21" t="b">
        <f t="shared" si="13"/>
        <v>1</v>
      </c>
      <c r="IM10" s="21" t="b">
        <f>+HB10=BV10+CM10+DD10+DU10+EL10</f>
        <v>1</v>
      </c>
      <c r="IN10" s="21" t="b">
        <f t="shared" ref="IN10:JB17" si="14">+HC10=BW10+CN10+DE10+DV10+EM10</f>
        <v>1</v>
      </c>
      <c r="IO10" s="21" t="b">
        <f t="shared" si="14"/>
        <v>1</v>
      </c>
      <c r="IP10" s="21" t="b">
        <f t="shared" si="14"/>
        <v>1</v>
      </c>
      <c r="IQ10" s="21" t="b">
        <f t="shared" si="14"/>
        <v>1</v>
      </c>
      <c r="IR10" s="21" t="b">
        <f t="shared" si="14"/>
        <v>1</v>
      </c>
      <c r="IS10" s="21" t="b">
        <f t="shared" si="14"/>
        <v>1</v>
      </c>
      <c r="IT10" s="21" t="b">
        <f t="shared" si="14"/>
        <v>1</v>
      </c>
      <c r="IU10" s="21" t="b">
        <f t="shared" si="14"/>
        <v>1</v>
      </c>
      <c r="IV10" s="21" t="b">
        <f t="shared" si="14"/>
        <v>1</v>
      </c>
      <c r="IW10" s="21" t="b">
        <f t="shared" si="14"/>
        <v>1</v>
      </c>
      <c r="IX10" s="21" t="b">
        <f t="shared" si="14"/>
        <v>1</v>
      </c>
      <c r="IY10" s="21" t="b">
        <f t="shared" si="14"/>
        <v>1</v>
      </c>
      <c r="IZ10" s="21" t="b">
        <f t="shared" si="14"/>
        <v>1</v>
      </c>
      <c r="JA10" s="21" t="b">
        <f t="shared" si="14"/>
        <v>1</v>
      </c>
      <c r="JB10" s="21" t="b">
        <f t="shared" si="14"/>
        <v>1</v>
      </c>
      <c r="JD10" s="21"/>
    </row>
    <row r="11" spans="2:264" x14ac:dyDescent="0.25">
      <c r="B11" s="24">
        <v>41608</v>
      </c>
      <c r="C11" s="25"/>
      <c r="D11" s="26"/>
      <c r="E11" s="10"/>
      <c r="F11" s="12">
        <v>1874.2853342182052</v>
      </c>
      <c r="G11" s="12">
        <v>20.652366666666666</v>
      </c>
      <c r="H11" s="12">
        <v>6.0998999999999999</v>
      </c>
      <c r="I11" s="12">
        <v>44.629533333333335</v>
      </c>
      <c r="J11" s="12">
        <v>107.32144166666666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20"/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/>
      <c r="AN11" s="12">
        <v>857.50070971076184</v>
      </c>
      <c r="AO11" s="12">
        <v>940.71369451903911</v>
      </c>
      <c r="AP11" s="12">
        <v>584.77716278181094</v>
      </c>
      <c r="AQ11" s="12">
        <v>2289.123312269207</v>
      </c>
      <c r="AR11" s="12">
        <v>759.16467743793271</v>
      </c>
      <c r="AS11" s="12">
        <v>344.16661181865533</v>
      </c>
      <c r="AT11" s="12">
        <v>3.4779123712069548</v>
      </c>
      <c r="AU11" s="12">
        <v>627.85383860913771</v>
      </c>
      <c r="AV11" s="12">
        <v>95.466833706867249</v>
      </c>
      <c r="AW11" s="12">
        <v>221.42930594300401</v>
      </c>
      <c r="AX11" s="12">
        <v>221.42930594300401</v>
      </c>
      <c r="AY11" s="12">
        <v>221.42930594300401</v>
      </c>
      <c r="AZ11" s="12">
        <v>221.42930594300401</v>
      </c>
      <c r="BA11" s="12">
        <v>221.42930594300401</v>
      </c>
      <c r="BB11" s="12">
        <v>34.50576408306177</v>
      </c>
      <c r="BC11" s="12">
        <v>0</v>
      </c>
      <c r="BD11" s="12"/>
      <c r="BE11" s="12">
        <v>3403.9709140012374</v>
      </c>
      <c r="BF11" s="12">
        <v>2057.3058343227026</v>
      </c>
      <c r="BG11" s="12">
        <v>1451.6622297109034</v>
      </c>
      <c r="BH11" s="12">
        <v>3437.5657578746095</v>
      </c>
      <c r="BI11" s="12">
        <v>4752.3168227825408</v>
      </c>
      <c r="BJ11" s="12">
        <v>7517.7482156445003</v>
      </c>
      <c r="BK11" s="12">
        <v>4690.5592647361955</v>
      </c>
      <c r="BL11" s="12">
        <v>1772.2366548335217</v>
      </c>
      <c r="BM11" s="12">
        <v>1401.0890689791754</v>
      </c>
      <c r="BN11" s="12">
        <v>744.99691090744898</v>
      </c>
      <c r="BO11" s="12">
        <v>744.99691090744898</v>
      </c>
      <c r="BP11" s="12">
        <v>744.99691090744898</v>
      </c>
      <c r="BQ11" s="12">
        <v>744.99691090744898</v>
      </c>
      <c r="BR11" s="12">
        <v>744.99691090744898</v>
      </c>
      <c r="BS11" s="12">
        <v>2403.7284796889417</v>
      </c>
      <c r="BT11" s="12">
        <v>116.4118067573804</v>
      </c>
      <c r="BU11" s="12"/>
      <c r="BV11" s="12">
        <v>11572.347001513472</v>
      </c>
      <c r="BW11" s="12">
        <v>2222.0774242826783</v>
      </c>
      <c r="BX11" s="12">
        <v>1277.3648421051494</v>
      </c>
      <c r="BY11" s="12">
        <v>1440.3960603421319</v>
      </c>
      <c r="BZ11" s="12">
        <v>1946.4857000138327</v>
      </c>
      <c r="CA11" s="12">
        <v>3306.9053192629335</v>
      </c>
      <c r="CB11" s="12">
        <v>2410.4128661718678</v>
      </c>
      <c r="CC11" s="12">
        <v>3430.468137680823</v>
      </c>
      <c r="CD11" s="12">
        <v>1584.4308434484101</v>
      </c>
      <c r="CE11" s="12">
        <v>567.51598975538775</v>
      </c>
      <c r="CF11" s="12">
        <v>567.51598975538775</v>
      </c>
      <c r="CG11" s="12">
        <v>567.51598975538775</v>
      </c>
      <c r="CH11" s="12">
        <v>567.51598975538775</v>
      </c>
      <c r="CI11" s="12">
        <v>567.51598975538775</v>
      </c>
      <c r="CJ11" s="12">
        <v>5.8262908123253271E-5</v>
      </c>
      <c r="CK11" s="12">
        <v>5.8246958791711191E-5</v>
      </c>
      <c r="CL11" s="12"/>
      <c r="CM11" s="12">
        <v>526.17545833333327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/>
      <c r="DD11" s="12">
        <v>75.256749717345997</v>
      </c>
      <c r="DE11" s="12">
        <v>46.870559011459129</v>
      </c>
      <c r="DF11" s="12">
        <v>28.226817767852495</v>
      </c>
      <c r="DG11" s="12">
        <v>27.665356186577323</v>
      </c>
      <c r="DH11" s="12">
        <v>13.406923756908748</v>
      </c>
      <c r="DI11" s="12">
        <v>19.20642926915858</v>
      </c>
      <c r="DJ11" s="12">
        <v>13.389626335156963</v>
      </c>
      <c r="DK11" s="12">
        <v>26.76992285783529</v>
      </c>
      <c r="DL11" s="12">
        <v>3.0687164220280163</v>
      </c>
      <c r="DM11" s="12">
        <v>3.2869840131354611</v>
      </c>
      <c r="DN11" s="12">
        <v>3.2869840131354611</v>
      </c>
      <c r="DO11" s="12">
        <v>3.2869840131354611</v>
      </c>
      <c r="DP11" s="12">
        <v>3.2869840131354611</v>
      </c>
      <c r="DQ11" s="12">
        <v>3.2869840131354611</v>
      </c>
      <c r="DR11" s="12">
        <v>3.4074900682063051E-15</v>
      </c>
      <c r="DS11" s="12">
        <v>3.4065572759620656E-15</v>
      </c>
      <c r="DT11" s="12"/>
      <c r="DU11" s="12">
        <v>3.9823404540590275</v>
      </c>
      <c r="DV11" s="12">
        <v>4.036646894689123</v>
      </c>
      <c r="DW11" s="12">
        <v>4.0887505806330342</v>
      </c>
      <c r="DX11" s="12">
        <v>339.7826574131542</v>
      </c>
      <c r="DY11" s="12">
        <v>235.65386334938404</v>
      </c>
      <c r="DZ11" s="12">
        <v>62.464864980961288</v>
      </c>
      <c r="EA11" s="12">
        <v>73.249791147634156</v>
      </c>
      <c r="EB11" s="12">
        <v>85.587113407110778</v>
      </c>
      <c r="EC11" s="12">
        <v>100.9149015966501</v>
      </c>
      <c r="ED11" s="12">
        <v>144.96641667879297</v>
      </c>
      <c r="EE11" s="12">
        <v>144.96641667879297</v>
      </c>
      <c r="EF11" s="12">
        <v>144.96641667879297</v>
      </c>
      <c r="EG11" s="12">
        <v>144.96641667879297</v>
      </c>
      <c r="EH11" s="12">
        <v>144.96641667879297</v>
      </c>
      <c r="EI11" s="12">
        <v>1314.0033987916377</v>
      </c>
      <c r="EJ11" s="12">
        <v>3.8855979715433954E-2</v>
      </c>
      <c r="EK11" s="12"/>
      <c r="EL11" s="12">
        <v>1.8556527777777778</v>
      </c>
      <c r="EM11" s="12">
        <v>3.3140132378472216</v>
      </c>
      <c r="EN11" s="12">
        <v>25.77485239837479</v>
      </c>
      <c r="EO11" s="12">
        <v>75.270916533333335</v>
      </c>
      <c r="EP11" s="12">
        <v>288.57752183057443</v>
      </c>
      <c r="EQ11" s="12">
        <v>123.15462261223603</v>
      </c>
      <c r="ER11" s="12">
        <v>229.88608468333334</v>
      </c>
      <c r="ES11" s="12">
        <v>576.81715184722225</v>
      </c>
      <c r="ET11" s="12">
        <v>349.39556430555552</v>
      </c>
      <c r="EU11" s="12">
        <v>135.1202524</v>
      </c>
      <c r="EV11" s="12">
        <v>135.1202524</v>
      </c>
      <c r="EW11" s="12">
        <v>135.1202524</v>
      </c>
      <c r="EX11" s="12">
        <v>135.1202524</v>
      </c>
      <c r="EY11" s="12">
        <v>135.1202524</v>
      </c>
      <c r="EZ11" s="12">
        <v>18.308919833333331</v>
      </c>
      <c r="FA11" s="12">
        <v>0</v>
      </c>
      <c r="FB11" s="12"/>
      <c r="FC11" s="12">
        <v>0</v>
      </c>
      <c r="FD11" s="12">
        <v>0</v>
      </c>
      <c r="FE11" s="12">
        <v>16.18391301732969</v>
      </c>
      <c r="FF11" s="12">
        <v>26.385016035762931</v>
      </c>
      <c r="FG11" s="12">
        <v>41.23925854973205</v>
      </c>
      <c r="FH11" s="12">
        <v>14.834465419062973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/>
      <c r="FT11" s="12">
        <v>4.4390165003022215</v>
      </c>
      <c r="FU11" s="12">
        <v>0</v>
      </c>
      <c r="FV11" s="12">
        <v>0</v>
      </c>
      <c r="FW11" s="12">
        <v>4.3425161416</v>
      </c>
      <c r="FX11" s="12">
        <v>8.8297828212533336</v>
      </c>
      <c r="FY11" s="12">
        <v>17.611315463155552</v>
      </c>
      <c r="FZ11" s="12">
        <v>17.659565642506667</v>
      </c>
      <c r="GA11" s="12">
        <v>17.611315463155552</v>
      </c>
      <c r="GB11" s="12">
        <v>17.611315463155552</v>
      </c>
      <c r="GC11" s="12">
        <v>50.64181273086578</v>
      </c>
      <c r="GD11" s="12">
        <v>50.64181273086578</v>
      </c>
      <c r="GE11" s="12">
        <v>50.64181273086578</v>
      </c>
      <c r="GF11" s="12">
        <v>50.64181273086578</v>
      </c>
      <c r="GG11" s="12">
        <v>50.64181273086578</v>
      </c>
      <c r="GH11" s="12">
        <v>0</v>
      </c>
      <c r="GI11" s="12">
        <v>0</v>
      </c>
      <c r="GJ11" s="12"/>
      <c r="GK11" s="12">
        <v>6135.7569579302044</v>
      </c>
      <c r="GL11" s="12">
        <v>3018.6718955084084</v>
      </c>
      <c r="GM11" s="12">
        <v>2042.5392924927144</v>
      </c>
      <c r="GN11" s="12">
        <v>5771.3186034771497</v>
      </c>
      <c r="GO11" s="12">
        <v>5618.8029418871402</v>
      </c>
      <c r="GP11" s="12">
        <v>7861.9148274631552</v>
      </c>
      <c r="GQ11" s="12">
        <v>4694.0371771074024</v>
      </c>
      <c r="GR11" s="12">
        <v>2400.0904934426594</v>
      </c>
      <c r="GS11" s="12">
        <v>1496.5559026860426</v>
      </c>
      <c r="GT11" s="12">
        <v>966.42621685045287</v>
      </c>
      <c r="GU11" s="12">
        <v>966.42621685045287</v>
      </c>
      <c r="GV11" s="12">
        <v>966.42621685045287</v>
      </c>
      <c r="GW11" s="12">
        <v>966.42621685045287</v>
      </c>
      <c r="GX11" s="12">
        <v>966.42621685045287</v>
      </c>
      <c r="GY11" s="12">
        <v>2438.2342437720035</v>
      </c>
      <c r="GZ11" s="12">
        <v>116.4118067573804</v>
      </c>
      <c r="HB11" s="12">
        <v>12179.617202795987</v>
      </c>
      <c r="HC11" s="12">
        <v>2276.2986434266736</v>
      </c>
      <c r="HD11" s="12">
        <v>1335.4552628520098</v>
      </c>
      <c r="HE11" s="12">
        <v>1883.1149904751967</v>
      </c>
      <c r="HF11" s="12">
        <v>2484.1240089507</v>
      </c>
      <c r="HG11" s="12">
        <v>3511.7312361252893</v>
      </c>
      <c r="HH11" s="12">
        <v>2726.9383683379924</v>
      </c>
      <c r="HI11" s="12">
        <v>4119.642325792991</v>
      </c>
      <c r="HJ11" s="12">
        <v>2037.8100257726437</v>
      </c>
      <c r="HK11" s="12">
        <v>850.88964284731617</v>
      </c>
      <c r="HL11" s="12">
        <v>850.88964284731617</v>
      </c>
      <c r="HM11" s="12">
        <v>850.88964284731617</v>
      </c>
      <c r="HN11" s="12">
        <v>850.88964284731617</v>
      </c>
      <c r="HO11" s="12">
        <v>850.88964284731617</v>
      </c>
      <c r="HP11" s="12">
        <v>1332.3123768878791</v>
      </c>
      <c r="HQ11" s="12">
        <v>3.8914226674229072E-2</v>
      </c>
      <c r="HR11" s="6"/>
      <c r="HS11" s="12"/>
      <c r="HT11" s="12"/>
      <c r="HV11" s="21" t="b">
        <f t="shared" ref="HV11:HV17" si="15">+GK11=F11+W11+AN11+BE11</f>
        <v>1</v>
      </c>
      <c r="HW11" s="21" t="b">
        <f t="shared" si="13"/>
        <v>1</v>
      </c>
      <c r="HX11" s="21" t="b">
        <f t="shared" si="13"/>
        <v>1</v>
      </c>
      <c r="HY11" s="21" t="b">
        <f t="shared" si="13"/>
        <v>1</v>
      </c>
      <c r="HZ11" s="21" t="b">
        <f t="shared" si="13"/>
        <v>1</v>
      </c>
      <c r="IA11" s="21" t="b">
        <f t="shared" si="13"/>
        <v>1</v>
      </c>
      <c r="IB11" s="21" t="b">
        <f t="shared" si="13"/>
        <v>1</v>
      </c>
      <c r="IC11" s="21" t="b">
        <f t="shared" si="13"/>
        <v>1</v>
      </c>
      <c r="ID11" s="21" t="b">
        <f t="shared" si="13"/>
        <v>1</v>
      </c>
      <c r="IE11" s="21" t="b">
        <f t="shared" si="13"/>
        <v>1</v>
      </c>
      <c r="IF11" s="21" t="b">
        <f t="shared" si="13"/>
        <v>1</v>
      </c>
      <c r="IG11" s="21" t="b">
        <f t="shared" si="13"/>
        <v>1</v>
      </c>
      <c r="IH11" s="21" t="b">
        <f t="shared" si="13"/>
        <v>1</v>
      </c>
      <c r="II11" s="21" t="b">
        <f t="shared" si="13"/>
        <v>1</v>
      </c>
      <c r="IJ11" s="21" t="b">
        <f t="shared" si="13"/>
        <v>1</v>
      </c>
      <c r="IK11" s="21" t="b">
        <f t="shared" si="13"/>
        <v>1</v>
      </c>
      <c r="IM11" s="21" t="b">
        <f t="shared" ref="IM11:IM17" si="16">+HB11=BV11+CM11+DD11+DU11+EL11</f>
        <v>1</v>
      </c>
      <c r="IN11" s="21" t="b">
        <f t="shared" si="14"/>
        <v>1</v>
      </c>
      <c r="IO11" s="21" t="b">
        <f t="shared" si="14"/>
        <v>1</v>
      </c>
      <c r="IP11" s="21" t="b">
        <f t="shared" si="14"/>
        <v>1</v>
      </c>
      <c r="IQ11" s="21" t="b">
        <f t="shared" si="14"/>
        <v>1</v>
      </c>
      <c r="IR11" s="21" t="b">
        <f t="shared" si="14"/>
        <v>1</v>
      </c>
      <c r="IS11" s="21" t="b">
        <f t="shared" si="14"/>
        <v>1</v>
      </c>
      <c r="IT11" s="21" t="b">
        <f t="shared" si="14"/>
        <v>1</v>
      </c>
      <c r="IU11" s="21" t="b">
        <f t="shared" si="14"/>
        <v>1</v>
      </c>
      <c r="IV11" s="21" t="b">
        <f t="shared" si="14"/>
        <v>1</v>
      </c>
      <c r="IW11" s="21" t="b">
        <f t="shared" si="14"/>
        <v>1</v>
      </c>
      <c r="IX11" s="21" t="b">
        <f t="shared" si="14"/>
        <v>1</v>
      </c>
      <c r="IY11" s="21" t="b">
        <f t="shared" si="14"/>
        <v>1</v>
      </c>
      <c r="IZ11" s="21" t="b">
        <f t="shared" si="14"/>
        <v>1</v>
      </c>
      <c r="JA11" s="21" t="b">
        <f t="shared" si="14"/>
        <v>1</v>
      </c>
      <c r="JB11" s="21" t="b">
        <f t="shared" si="14"/>
        <v>1</v>
      </c>
      <c r="JD11" s="21"/>
    </row>
    <row r="12" spans="2:264" x14ac:dyDescent="0.25">
      <c r="B12" s="24">
        <v>41639</v>
      </c>
      <c r="C12" s="25"/>
      <c r="D12" s="26"/>
      <c r="E12" s="10"/>
      <c r="F12" s="12">
        <v>1874.2853342182052</v>
      </c>
      <c r="G12" s="12">
        <v>20.652366666666666</v>
      </c>
      <c r="H12" s="12">
        <v>6.0998999999999999</v>
      </c>
      <c r="I12" s="12">
        <v>44.629533333333335</v>
      </c>
      <c r="J12" s="12">
        <v>107.32144166666666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20"/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/>
      <c r="AN12" s="12">
        <v>857.50070971076184</v>
      </c>
      <c r="AO12" s="12">
        <v>940.71369451903911</v>
      </c>
      <c r="AP12" s="12">
        <v>584.77716278181094</v>
      </c>
      <c r="AQ12" s="12">
        <v>2289.123312269207</v>
      </c>
      <c r="AR12" s="12">
        <v>759.16467743793271</v>
      </c>
      <c r="AS12" s="12">
        <v>344.16661181865533</v>
      </c>
      <c r="AT12" s="12">
        <v>3.4779123712069548</v>
      </c>
      <c r="AU12" s="12">
        <v>627.85383860913771</v>
      </c>
      <c r="AV12" s="12">
        <v>95.466833706867249</v>
      </c>
      <c r="AW12" s="12">
        <v>221.42930594300401</v>
      </c>
      <c r="AX12" s="12">
        <v>221.42930594300401</v>
      </c>
      <c r="AY12" s="12">
        <v>221.42930594300401</v>
      </c>
      <c r="AZ12" s="12">
        <v>221.42930594300401</v>
      </c>
      <c r="BA12" s="12">
        <v>221.42930594300401</v>
      </c>
      <c r="BB12" s="12">
        <v>34.50576408306177</v>
      </c>
      <c r="BC12" s="12">
        <v>0</v>
      </c>
      <c r="BD12" s="12"/>
      <c r="BE12" s="12">
        <v>3403.9709140012374</v>
      </c>
      <c r="BF12" s="12">
        <v>2057.3058343227026</v>
      </c>
      <c r="BG12" s="12">
        <v>1451.6622297109034</v>
      </c>
      <c r="BH12" s="12">
        <v>3437.5657578746095</v>
      </c>
      <c r="BI12" s="12">
        <v>4752.3168227825408</v>
      </c>
      <c r="BJ12" s="12">
        <v>7517.7482156445003</v>
      </c>
      <c r="BK12" s="12">
        <v>4690.5592647361955</v>
      </c>
      <c r="BL12" s="12">
        <v>1772.2366548335217</v>
      </c>
      <c r="BM12" s="12">
        <v>1401.0890689791754</v>
      </c>
      <c r="BN12" s="12">
        <v>744.99691090744898</v>
      </c>
      <c r="BO12" s="12">
        <v>744.99691090744898</v>
      </c>
      <c r="BP12" s="12">
        <v>744.99691090744898</v>
      </c>
      <c r="BQ12" s="12">
        <v>744.99691090744898</v>
      </c>
      <c r="BR12" s="12">
        <v>744.99691090744898</v>
      </c>
      <c r="BS12" s="12">
        <v>2403.7284796889417</v>
      </c>
      <c r="BT12" s="12">
        <v>116.4118067573804</v>
      </c>
      <c r="BU12" s="12"/>
      <c r="BV12" s="12">
        <v>10596.785364266907</v>
      </c>
      <c r="BW12" s="12">
        <v>2024.781979846282</v>
      </c>
      <c r="BX12" s="12">
        <v>1148.0317174698373</v>
      </c>
      <c r="BY12" s="12">
        <v>1354.3747823582353</v>
      </c>
      <c r="BZ12" s="12">
        <v>1809.6548961388194</v>
      </c>
      <c r="CA12" s="12">
        <v>3270.2431443497421</v>
      </c>
      <c r="CB12" s="12">
        <v>2410.4101780322426</v>
      </c>
      <c r="CC12" s="12">
        <v>3430.468137680823</v>
      </c>
      <c r="CD12" s="12">
        <v>1584.4308434484101</v>
      </c>
      <c r="CE12" s="12">
        <v>567.51598975538775</v>
      </c>
      <c r="CF12" s="12">
        <v>567.51598975538775</v>
      </c>
      <c r="CG12" s="12">
        <v>567.51598975538775</v>
      </c>
      <c r="CH12" s="12">
        <v>567.51598975538775</v>
      </c>
      <c r="CI12" s="12">
        <v>567.51598975538775</v>
      </c>
      <c r="CJ12" s="12">
        <v>5.8262908123253271E-5</v>
      </c>
      <c r="CK12" s="12">
        <v>5.8246958791711191E-5</v>
      </c>
      <c r="CL12" s="12"/>
      <c r="CM12" s="12">
        <v>526.17545833333327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/>
      <c r="DD12" s="12">
        <v>80.360332805608238</v>
      </c>
      <c r="DE12" s="12">
        <v>26.078540574929008</v>
      </c>
      <c r="DF12" s="12">
        <v>11.815202166463818</v>
      </c>
      <c r="DG12" s="12">
        <v>15.29993549156076</v>
      </c>
      <c r="DH12" s="12">
        <v>8.401199446761245</v>
      </c>
      <c r="DI12" s="12">
        <v>34.054288655338731</v>
      </c>
      <c r="DJ12" s="12">
        <v>23.675733394396516</v>
      </c>
      <c r="DK12" s="12">
        <v>47.551679837794609</v>
      </c>
      <c r="DL12" s="12">
        <v>5.2609570664588148</v>
      </c>
      <c r="DM12" s="12">
        <v>5.8515580621375953</v>
      </c>
      <c r="DN12" s="12">
        <v>5.8515580621375953</v>
      </c>
      <c r="DO12" s="12">
        <v>5.8515580621375953</v>
      </c>
      <c r="DP12" s="12">
        <v>5.8515580621375953</v>
      </c>
      <c r="DQ12" s="12">
        <v>5.8515580621375953</v>
      </c>
      <c r="DR12" s="12">
        <v>5.8417450451062004E-15</v>
      </c>
      <c r="DS12" s="12">
        <v>5.8401458813927836E-15</v>
      </c>
      <c r="DT12" s="12"/>
      <c r="DU12" s="12">
        <v>3.9823404540590275</v>
      </c>
      <c r="DV12" s="12">
        <v>4.036646894689123</v>
      </c>
      <c r="DW12" s="12">
        <v>4.0887505806330342</v>
      </c>
      <c r="DX12" s="12">
        <v>339.7826574131542</v>
      </c>
      <c r="DY12" s="12">
        <v>235.65386334938404</v>
      </c>
      <c r="DZ12" s="12">
        <v>62.464864980961288</v>
      </c>
      <c r="EA12" s="12">
        <v>73.249791147634156</v>
      </c>
      <c r="EB12" s="12">
        <v>85.587113407110778</v>
      </c>
      <c r="EC12" s="12">
        <v>100.9149015966501</v>
      </c>
      <c r="ED12" s="12">
        <v>144.96641667879297</v>
      </c>
      <c r="EE12" s="12">
        <v>144.96641667879297</v>
      </c>
      <c r="EF12" s="12">
        <v>144.96641667879297</v>
      </c>
      <c r="EG12" s="12">
        <v>144.96641667879297</v>
      </c>
      <c r="EH12" s="12">
        <v>144.96641667879297</v>
      </c>
      <c r="EI12" s="12">
        <v>1314.0033987916377</v>
      </c>
      <c r="EJ12" s="12">
        <v>3.8855979715433954E-2</v>
      </c>
      <c r="EK12" s="12"/>
      <c r="EL12" s="12">
        <v>1.8556527777777778</v>
      </c>
      <c r="EM12" s="12">
        <v>3.3140132378472216</v>
      </c>
      <c r="EN12" s="12">
        <v>25.77485239837479</v>
      </c>
      <c r="EO12" s="12">
        <v>75.270916533333335</v>
      </c>
      <c r="EP12" s="12">
        <v>288.57752183057443</v>
      </c>
      <c r="EQ12" s="12">
        <v>123.15462261223603</v>
      </c>
      <c r="ER12" s="12">
        <v>229.88608468333334</v>
      </c>
      <c r="ES12" s="12">
        <v>576.81715184722225</v>
      </c>
      <c r="ET12" s="12">
        <v>349.39556430555552</v>
      </c>
      <c r="EU12" s="12">
        <v>135.1202524</v>
      </c>
      <c r="EV12" s="12">
        <v>135.1202524</v>
      </c>
      <c r="EW12" s="12">
        <v>135.1202524</v>
      </c>
      <c r="EX12" s="12">
        <v>135.1202524</v>
      </c>
      <c r="EY12" s="12">
        <v>135.1202524</v>
      </c>
      <c r="EZ12" s="12">
        <v>18.308919833333331</v>
      </c>
      <c r="FA12" s="12">
        <v>0</v>
      </c>
      <c r="FB12" s="12"/>
      <c r="FC12" s="12">
        <v>0</v>
      </c>
      <c r="FD12" s="12">
        <v>0</v>
      </c>
      <c r="FE12" s="12">
        <v>16.18391301732969</v>
      </c>
      <c r="FF12" s="12">
        <v>26.385016035762931</v>
      </c>
      <c r="FG12" s="12">
        <v>41.23925854973205</v>
      </c>
      <c r="FH12" s="12">
        <v>14.834465419062973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/>
      <c r="FT12" s="12">
        <v>4.4390165003022215</v>
      </c>
      <c r="FU12" s="12">
        <v>0</v>
      </c>
      <c r="FV12" s="12">
        <v>0</v>
      </c>
      <c r="FW12" s="12">
        <v>4.3425161416</v>
      </c>
      <c r="FX12" s="12">
        <v>8.8297828212533336</v>
      </c>
      <c r="FY12" s="12">
        <v>17.611315463155552</v>
      </c>
      <c r="FZ12" s="12">
        <v>17.659565642506667</v>
      </c>
      <c r="GA12" s="12">
        <v>17.611315463155552</v>
      </c>
      <c r="GB12" s="12">
        <v>17.611315463155552</v>
      </c>
      <c r="GC12" s="12">
        <v>50.64181273086578</v>
      </c>
      <c r="GD12" s="12">
        <v>50.64181273086578</v>
      </c>
      <c r="GE12" s="12">
        <v>50.64181273086578</v>
      </c>
      <c r="GF12" s="12">
        <v>50.64181273086578</v>
      </c>
      <c r="GG12" s="12">
        <v>50.64181273086578</v>
      </c>
      <c r="GH12" s="12">
        <v>0</v>
      </c>
      <c r="GI12" s="12">
        <v>0</v>
      </c>
      <c r="GJ12" s="12"/>
      <c r="GK12" s="12">
        <v>6135.7569579302044</v>
      </c>
      <c r="GL12" s="12">
        <v>3018.6718955084084</v>
      </c>
      <c r="GM12" s="12">
        <v>2042.5392924927144</v>
      </c>
      <c r="GN12" s="12">
        <v>5771.3186034771497</v>
      </c>
      <c r="GO12" s="12">
        <v>5618.8029418871402</v>
      </c>
      <c r="GP12" s="12">
        <v>7861.9148274631552</v>
      </c>
      <c r="GQ12" s="12">
        <v>4694.0371771074024</v>
      </c>
      <c r="GR12" s="12">
        <v>2400.0904934426594</v>
      </c>
      <c r="GS12" s="12">
        <v>1496.5559026860426</v>
      </c>
      <c r="GT12" s="12">
        <v>966.42621685045287</v>
      </c>
      <c r="GU12" s="12">
        <v>966.42621685045287</v>
      </c>
      <c r="GV12" s="12">
        <v>966.42621685045287</v>
      </c>
      <c r="GW12" s="12">
        <v>966.42621685045287</v>
      </c>
      <c r="GX12" s="12">
        <v>966.42621685045287</v>
      </c>
      <c r="GY12" s="12">
        <v>2438.2342437720035</v>
      </c>
      <c r="GZ12" s="12">
        <v>116.4118067573804</v>
      </c>
      <c r="HB12" s="12">
        <v>11209.159148637686</v>
      </c>
      <c r="HC12" s="12">
        <v>2058.211180553747</v>
      </c>
      <c r="HD12" s="12">
        <v>1189.7105226153092</v>
      </c>
      <c r="HE12" s="12">
        <v>1784.7282917962837</v>
      </c>
      <c r="HF12" s="12">
        <v>2342.2874807655389</v>
      </c>
      <c r="HG12" s="12">
        <v>3489.9169205982785</v>
      </c>
      <c r="HH12" s="12">
        <v>2737.2217872576066</v>
      </c>
      <c r="HI12" s="12">
        <v>4140.4240827729509</v>
      </c>
      <c r="HJ12" s="12">
        <v>2040.0022664170745</v>
      </c>
      <c r="HK12" s="12">
        <v>853.45421689631826</v>
      </c>
      <c r="HL12" s="12">
        <v>853.45421689631826</v>
      </c>
      <c r="HM12" s="12">
        <v>853.45421689631826</v>
      </c>
      <c r="HN12" s="12">
        <v>853.45421689631826</v>
      </c>
      <c r="HO12" s="12">
        <v>853.45421689631826</v>
      </c>
      <c r="HP12" s="12">
        <v>1332.3123768878791</v>
      </c>
      <c r="HQ12" s="12">
        <v>3.8914226674231507E-2</v>
      </c>
      <c r="HR12" s="6"/>
      <c r="HS12" s="12"/>
      <c r="HT12" s="12"/>
      <c r="HV12" s="21" t="b">
        <f t="shared" si="15"/>
        <v>1</v>
      </c>
      <c r="HW12" s="21" t="b">
        <f t="shared" si="13"/>
        <v>1</v>
      </c>
      <c r="HX12" s="21" t="b">
        <f t="shared" si="13"/>
        <v>1</v>
      </c>
      <c r="HY12" s="21" t="b">
        <f t="shared" si="13"/>
        <v>1</v>
      </c>
      <c r="HZ12" s="21" t="b">
        <f t="shared" si="13"/>
        <v>1</v>
      </c>
      <c r="IA12" s="21" t="b">
        <f t="shared" si="13"/>
        <v>1</v>
      </c>
      <c r="IB12" s="21" t="b">
        <f t="shared" si="13"/>
        <v>1</v>
      </c>
      <c r="IC12" s="21" t="b">
        <f t="shared" si="13"/>
        <v>1</v>
      </c>
      <c r="ID12" s="21" t="b">
        <f t="shared" si="13"/>
        <v>1</v>
      </c>
      <c r="IE12" s="21" t="b">
        <f t="shared" si="13"/>
        <v>1</v>
      </c>
      <c r="IF12" s="21" t="b">
        <f t="shared" si="13"/>
        <v>1</v>
      </c>
      <c r="IG12" s="21" t="b">
        <f t="shared" si="13"/>
        <v>1</v>
      </c>
      <c r="IH12" s="21" t="b">
        <f t="shared" si="13"/>
        <v>1</v>
      </c>
      <c r="II12" s="21" t="b">
        <f t="shared" si="13"/>
        <v>1</v>
      </c>
      <c r="IJ12" s="21" t="b">
        <f t="shared" si="13"/>
        <v>1</v>
      </c>
      <c r="IK12" s="21" t="b">
        <f t="shared" si="13"/>
        <v>1</v>
      </c>
      <c r="IM12" s="21" t="b">
        <f t="shared" si="16"/>
        <v>1</v>
      </c>
      <c r="IN12" s="21" t="b">
        <f t="shared" si="14"/>
        <v>1</v>
      </c>
      <c r="IO12" s="21" t="b">
        <f t="shared" si="14"/>
        <v>1</v>
      </c>
      <c r="IP12" s="21" t="b">
        <f t="shared" si="14"/>
        <v>1</v>
      </c>
      <c r="IQ12" s="21" t="b">
        <f t="shared" si="14"/>
        <v>1</v>
      </c>
      <c r="IR12" s="21" t="b">
        <f t="shared" si="14"/>
        <v>1</v>
      </c>
      <c r="IS12" s="21" t="b">
        <f t="shared" si="14"/>
        <v>1</v>
      </c>
      <c r="IT12" s="21" t="b">
        <f t="shared" si="14"/>
        <v>1</v>
      </c>
      <c r="IU12" s="21" t="b">
        <f t="shared" si="14"/>
        <v>1</v>
      </c>
      <c r="IV12" s="21" t="b">
        <f t="shared" si="14"/>
        <v>1</v>
      </c>
      <c r="IW12" s="21" t="b">
        <f t="shared" si="14"/>
        <v>1</v>
      </c>
      <c r="IX12" s="21" t="b">
        <f t="shared" si="14"/>
        <v>1</v>
      </c>
      <c r="IY12" s="21" t="b">
        <f t="shared" si="14"/>
        <v>1</v>
      </c>
      <c r="IZ12" s="21" t="b">
        <f t="shared" si="14"/>
        <v>1</v>
      </c>
      <c r="JA12" s="21" t="b">
        <f t="shared" si="14"/>
        <v>1</v>
      </c>
      <c r="JB12" s="21" t="b">
        <f t="shared" si="14"/>
        <v>1</v>
      </c>
      <c r="JD12" s="21"/>
    </row>
    <row r="13" spans="2:264" x14ac:dyDescent="0.25">
      <c r="B13" s="24">
        <v>41670</v>
      </c>
      <c r="C13" s="25"/>
      <c r="D13" s="26"/>
      <c r="E13" s="10"/>
      <c r="F13" s="12">
        <v>1513.4245786454658</v>
      </c>
      <c r="G13" s="12">
        <v>6.0998999999999999</v>
      </c>
      <c r="H13" s="12">
        <v>12.311999999999999</v>
      </c>
      <c r="I13" s="12">
        <v>32.317533333333337</v>
      </c>
      <c r="J13" s="12">
        <v>107.32144166666666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20"/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/>
      <c r="AN13" s="12">
        <v>947.26279426903898</v>
      </c>
      <c r="AO13" s="12">
        <v>482.06043967376121</v>
      </c>
      <c r="AP13" s="12">
        <v>1597.5131952713318</v>
      </c>
      <c r="AQ13" s="12">
        <v>883.44363449382149</v>
      </c>
      <c r="AR13" s="12">
        <v>729.06620691085027</v>
      </c>
      <c r="AS13" s="12">
        <v>521.66378813408335</v>
      </c>
      <c r="AT13" s="12">
        <v>3.334958169178472</v>
      </c>
      <c r="AU13" s="12">
        <v>698.19200353538054</v>
      </c>
      <c r="AV13" s="12">
        <v>117.55545955048177</v>
      </c>
      <c r="AW13" s="12">
        <v>0</v>
      </c>
      <c r="AX13" s="12">
        <v>1027.6927866333035</v>
      </c>
      <c r="AY13" s="12">
        <v>0</v>
      </c>
      <c r="AZ13" s="12">
        <v>0</v>
      </c>
      <c r="BA13" s="12">
        <v>116.9119637889454</v>
      </c>
      <c r="BB13" s="12">
        <v>35.452745052111162</v>
      </c>
      <c r="BC13" s="12">
        <v>0</v>
      </c>
      <c r="BD13" s="12"/>
      <c r="BE13" s="12">
        <v>3181.7929769671546</v>
      </c>
      <c r="BF13" s="12">
        <v>1965.0840628873266</v>
      </c>
      <c r="BG13" s="12">
        <v>1800.3156541145988</v>
      </c>
      <c r="BH13" s="12">
        <v>3608.1968125888175</v>
      </c>
      <c r="BI13" s="12">
        <v>4808.0575927790724</v>
      </c>
      <c r="BJ13" s="12">
        <v>7532.0827463118048</v>
      </c>
      <c r="BK13" s="12">
        <v>4705.9391119479506</v>
      </c>
      <c r="BL13" s="12">
        <v>1791.9582171187637</v>
      </c>
      <c r="BM13" s="12">
        <v>1434.1463091417604</v>
      </c>
      <c r="BN13" s="12">
        <v>1030.9807009007809</v>
      </c>
      <c r="BO13" s="12">
        <v>916.48656560573988</v>
      </c>
      <c r="BP13" s="12">
        <v>777.85104052872055</v>
      </c>
      <c r="BQ13" s="12">
        <v>592.26048287806202</v>
      </c>
      <c r="BR13" s="12">
        <v>497.00041647871547</v>
      </c>
      <c r="BS13" s="12">
        <v>2438.366540646226</v>
      </c>
      <c r="BT13" s="12">
        <v>112.60443524130477</v>
      </c>
      <c r="BU13" s="12"/>
      <c r="BV13" s="12">
        <v>9583.7155084515125</v>
      </c>
      <c r="BW13" s="12">
        <v>2179.7744860006733</v>
      </c>
      <c r="BX13" s="12">
        <v>742.25630965367441</v>
      </c>
      <c r="BY13" s="12">
        <v>1319.0765475013063</v>
      </c>
      <c r="BZ13" s="12">
        <v>1835.0892632349933</v>
      </c>
      <c r="CA13" s="12">
        <v>3432.2700957256202</v>
      </c>
      <c r="CB13" s="12">
        <v>2384.6573020693127</v>
      </c>
      <c r="CC13" s="12">
        <v>3400.8248919688103</v>
      </c>
      <c r="CD13" s="12">
        <v>1561.7305972211634</v>
      </c>
      <c r="CE13" s="12">
        <v>24.905551886796736</v>
      </c>
      <c r="CF13" s="12">
        <v>24.973786275527683</v>
      </c>
      <c r="CG13" s="12">
        <v>24.905551886796736</v>
      </c>
      <c r="CH13" s="12">
        <v>24.905551886796736</v>
      </c>
      <c r="CI13" s="12">
        <v>2690.181798448772</v>
      </c>
      <c r="CJ13" s="12">
        <v>5.687319565760509E-5</v>
      </c>
      <c r="CK13" s="12">
        <v>5.6857626756521717E-5</v>
      </c>
      <c r="CL13" s="12"/>
      <c r="CM13" s="12">
        <v>226.08695555555559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/>
      <c r="DD13" s="12">
        <v>69.17570684340572</v>
      </c>
      <c r="DE13" s="12">
        <v>16.9707859642687</v>
      </c>
      <c r="DF13" s="12">
        <v>8.0178419667566203</v>
      </c>
      <c r="DG13" s="12">
        <v>6.3277499046433938</v>
      </c>
      <c r="DH13" s="12">
        <v>6.061363836371922</v>
      </c>
      <c r="DI13" s="12">
        <v>26.862220187718062</v>
      </c>
      <c r="DJ13" s="12">
        <v>18.286869786357084</v>
      </c>
      <c r="DK13" s="12">
        <v>38.064061704638867</v>
      </c>
      <c r="DL13" s="12">
        <v>3.0561451019535442</v>
      </c>
      <c r="DM13" s="12">
        <v>3.0449777846659216E-3</v>
      </c>
      <c r="DN13" s="12">
        <v>3.0533201895554182E-3</v>
      </c>
      <c r="DO13" s="12">
        <v>3.0449777846659216E-3</v>
      </c>
      <c r="DP13" s="12">
        <v>3.0449777846659216E-3</v>
      </c>
      <c r="DQ13" s="12">
        <v>23.849330690342327</v>
      </c>
      <c r="DR13" s="12">
        <v>3.3338022346750617E-15</v>
      </c>
      <c r="DS13" s="12">
        <v>3.3328896142987477E-15</v>
      </c>
      <c r="DT13" s="12"/>
      <c r="DU13" s="12">
        <v>1715.6017980779764</v>
      </c>
      <c r="DV13" s="12">
        <v>4.1706209690688718</v>
      </c>
      <c r="DW13" s="12">
        <v>4.2217702606065277</v>
      </c>
      <c r="DX13" s="12">
        <v>340.20359196268504</v>
      </c>
      <c r="DY13" s="12">
        <v>236.56875380643777</v>
      </c>
      <c r="DZ13" s="12">
        <v>64.563463834209699</v>
      </c>
      <c r="EA13" s="12">
        <v>75.736115271214331</v>
      </c>
      <c r="EB13" s="12">
        <v>88.556246099729123</v>
      </c>
      <c r="EC13" s="12">
        <v>104.29347605443276</v>
      </c>
      <c r="ED13" s="12">
        <v>0</v>
      </c>
      <c r="EE13" s="12">
        <v>0</v>
      </c>
      <c r="EF13" s="12">
        <v>0</v>
      </c>
      <c r="EG13" s="12">
        <v>0</v>
      </c>
      <c r="EH13" s="12">
        <v>745.49933023706171</v>
      </c>
      <c r="EI13" s="12">
        <v>1351.8504366848929</v>
      </c>
      <c r="EJ13" s="12">
        <v>0</v>
      </c>
      <c r="EK13" s="12"/>
      <c r="EL13" s="12">
        <v>3.3140132378472216</v>
      </c>
      <c r="EM13" s="12">
        <v>25.77484349546441</v>
      </c>
      <c r="EN13" s="12">
        <v>24.141705644444443</v>
      </c>
      <c r="EO13" s="12">
        <v>74.860511236111122</v>
      </c>
      <c r="EP13" s="12">
        <v>265.93232395891198</v>
      </c>
      <c r="EQ13" s="12">
        <v>123.15461426237701</v>
      </c>
      <c r="ER13" s="12">
        <v>229.88608468333334</v>
      </c>
      <c r="ES13" s="12">
        <v>576.81715184722225</v>
      </c>
      <c r="ET13" s="12">
        <v>348.30945319444442</v>
      </c>
      <c r="EU13" s="12">
        <v>33.897164722222222</v>
      </c>
      <c r="EV13" s="12">
        <v>33.990033666666662</v>
      </c>
      <c r="EW13" s="12">
        <v>183.89716472222219</v>
      </c>
      <c r="EX13" s="12">
        <v>422.87112305555559</v>
      </c>
      <c r="EY13" s="12">
        <v>0.94577583333333326</v>
      </c>
      <c r="EZ13" s="12">
        <v>18.308919833333331</v>
      </c>
      <c r="FA13" s="12">
        <v>0</v>
      </c>
      <c r="FB13" s="12"/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/>
      <c r="FT13" s="12">
        <v>0</v>
      </c>
      <c r="FU13" s="12">
        <v>0</v>
      </c>
      <c r="FV13" s="12">
        <v>2.6114640000000007</v>
      </c>
      <c r="FW13" s="12">
        <v>2.6404802666666667</v>
      </c>
      <c r="FX13" s="12">
        <v>5.3389930666666663</v>
      </c>
      <c r="FY13" s="12">
        <v>10.590937333333333</v>
      </c>
      <c r="FZ13" s="12">
        <v>10.619953599999999</v>
      </c>
      <c r="GA13" s="12">
        <v>10.590937333333333</v>
      </c>
      <c r="GB13" s="12">
        <v>10.590937333333333</v>
      </c>
      <c r="GC13" s="12">
        <v>10.590937333333333</v>
      </c>
      <c r="GD13" s="12">
        <v>230.63062746666668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/>
      <c r="GK13" s="12">
        <v>5642.4803498816591</v>
      </c>
      <c r="GL13" s="12">
        <v>2453.2444025610876</v>
      </c>
      <c r="GM13" s="12">
        <v>3410.1408493859308</v>
      </c>
      <c r="GN13" s="12">
        <v>4523.9579804159721</v>
      </c>
      <c r="GO13" s="12">
        <v>5644.4452413565896</v>
      </c>
      <c r="GP13" s="12">
        <v>8053.7465344458878</v>
      </c>
      <c r="GQ13" s="12">
        <v>4709.2740701171288</v>
      </c>
      <c r="GR13" s="12">
        <v>2490.1502206541445</v>
      </c>
      <c r="GS13" s="12">
        <v>1551.7017686922422</v>
      </c>
      <c r="GT13" s="12">
        <v>1030.9807009007809</v>
      </c>
      <c r="GU13" s="12">
        <v>1944.1793522390435</v>
      </c>
      <c r="GV13" s="12">
        <v>777.85104052872055</v>
      </c>
      <c r="GW13" s="12">
        <v>592.26048287806202</v>
      </c>
      <c r="GX13" s="12">
        <v>613.91238026766086</v>
      </c>
      <c r="GY13" s="12">
        <v>2473.8192856983374</v>
      </c>
      <c r="GZ13" s="12">
        <v>112.60443524130477</v>
      </c>
      <c r="HB13" s="12">
        <v>11597.893982166297</v>
      </c>
      <c r="HC13" s="12">
        <v>2226.6907364294748</v>
      </c>
      <c r="HD13" s="12">
        <v>778.63762752548189</v>
      </c>
      <c r="HE13" s="12">
        <v>1740.468400604746</v>
      </c>
      <c r="HF13" s="12">
        <v>2343.651704836715</v>
      </c>
      <c r="HG13" s="12">
        <v>3646.8503940099249</v>
      </c>
      <c r="HH13" s="12">
        <v>2708.5663718102169</v>
      </c>
      <c r="HI13" s="12">
        <v>4104.2623516204003</v>
      </c>
      <c r="HJ13" s="12">
        <v>2017.3896715719941</v>
      </c>
      <c r="HK13" s="12">
        <v>58.805761586803627</v>
      </c>
      <c r="HL13" s="12">
        <v>58.966873262383899</v>
      </c>
      <c r="HM13" s="12">
        <v>208.80576158680358</v>
      </c>
      <c r="HN13" s="12">
        <v>447.77971992013698</v>
      </c>
      <c r="HO13" s="12">
        <v>3460.4762352095095</v>
      </c>
      <c r="HP13" s="12">
        <v>1370.1594133914218</v>
      </c>
      <c r="HQ13" s="12">
        <v>5.6857626759854609E-5</v>
      </c>
      <c r="HR13" s="6"/>
      <c r="HS13" s="12"/>
      <c r="HT13" s="12"/>
      <c r="HV13" s="21" t="b">
        <f t="shared" si="15"/>
        <v>1</v>
      </c>
      <c r="HW13" s="21" t="b">
        <f t="shared" si="13"/>
        <v>1</v>
      </c>
      <c r="HX13" s="21" t="b">
        <f t="shared" si="13"/>
        <v>1</v>
      </c>
      <c r="HY13" s="21" t="b">
        <f t="shared" si="13"/>
        <v>1</v>
      </c>
      <c r="HZ13" s="21" t="b">
        <f t="shared" si="13"/>
        <v>1</v>
      </c>
      <c r="IA13" s="21" t="b">
        <f t="shared" si="13"/>
        <v>1</v>
      </c>
      <c r="IB13" s="21" t="b">
        <f t="shared" si="13"/>
        <v>1</v>
      </c>
      <c r="IC13" s="21" t="b">
        <f t="shared" si="13"/>
        <v>1</v>
      </c>
      <c r="ID13" s="21" t="b">
        <f t="shared" si="13"/>
        <v>1</v>
      </c>
      <c r="IE13" s="21" t="b">
        <f t="shared" si="13"/>
        <v>1</v>
      </c>
      <c r="IF13" s="21" t="b">
        <f t="shared" si="13"/>
        <v>1</v>
      </c>
      <c r="IG13" s="21" t="b">
        <f t="shared" si="13"/>
        <v>1</v>
      </c>
      <c r="IH13" s="21" t="b">
        <f t="shared" si="13"/>
        <v>1</v>
      </c>
      <c r="II13" s="21" t="b">
        <f t="shared" si="13"/>
        <v>1</v>
      </c>
      <c r="IJ13" s="21" t="b">
        <f t="shared" si="13"/>
        <v>1</v>
      </c>
      <c r="IK13" s="21" t="b">
        <f t="shared" si="13"/>
        <v>1</v>
      </c>
      <c r="IM13" s="21" t="b">
        <f t="shared" si="16"/>
        <v>1</v>
      </c>
      <c r="IN13" s="21" t="b">
        <f t="shared" si="14"/>
        <v>1</v>
      </c>
      <c r="IO13" s="21" t="b">
        <f t="shared" si="14"/>
        <v>1</v>
      </c>
      <c r="IP13" s="21" t="b">
        <f t="shared" si="14"/>
        <v>1</v>
      </c>
      <c r="IQ13" s="21" t="b">
        <f t="shared" si="14"/>
        <v>1</v>
      </c>
      <c r="IR13" s="21" t="b">
        <f t="shared" si="14"/>
        <v>1</v>
      </c>
      <c r="IS13" s="21" t="b">
        <f t="shared" si="14"/>
        <v>1</v>
      </c>
      <c r="IT13" s="21" t="b">
        <f t="shared" si="14"/>
        <v>1</v>
      </c>
      <c r="IU13" s="21" t="b">
        <f t="shared" si="14"/>
        <v>1</v>
      </c>
      <c r="IV13" s="21" t="b">
        <f t="shared" si="14"/>
        <v>1</v>
      </c>
      <c r="IW13" s="21" t="b">
        <f t="shared" si="14"/>
        <v>1</v>
      </c>
      <c r="IX13" s="21" t="b">
        <f t="shared" si="14"/>
        <v>1</v>
      </c>
      <c r="IY13" s="21" t="b">
        <f t="shared" si="14"/>
        <v>1</v>
      </c>
      <c r="IZ13" s="21" t="b">
        <f t="shared" si="14"/>
        <v>1</v>
      </c>
      <c r="JA13" s="21" t="b">
        <f t="shared" si="14"/>
        <v>1</v>
      </c>
      <c r="JB13" s="21" t="b">
        <f t="shared" si="14"/>
        <v>1</v>
      </c>
      <c r="JD13" s="21"/>
    </row>
    <row r="14" spans="2:264" x14ac:dyDescent="0.25">
      <c r="B14" s="24">
        <v>41698</v>
      </c>
      <c r="C14" s="25"/>
      <c r="D14" s="26"/>
      <c r="E14" s="10"/>
      <c r="F14" s="12">
        <v>1090.8225968047961</v>
      </c>
      <c r="G14" s="12">
        <v>12.311999999999999</v>
      </c>
      <c r="H14" s="12">
        <v>12.338333333333335</v>
      </c>
      <c r="I14" s="12">
        <v>33.661700000000003</v>
      </c>
      <c r="J14" s="12">
        <v>93.638941666666668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20"/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/>
      <c r="AN14" s="12">
        <v>593.94148840277342</v>
      </c>
      <c r="AO14" s="12">
        <v>1744.2463765469745</v>
      </c>
      <c r="AP14" s="12">
        <v>556.84963025056561</v>
      </c>
      <c r="AQ14" s="12">
        <v>590.37783989496199</v>
      </c>
      <c r="AR14" s="12">
        <v>701.62867788902986</v>
      </c>
      <c r="AS14" s="12">
        <v>521.66378814701181</v>
      </c>
      <c r="AT14" s="12">
        <v>3.334958169178472</v>
      </c>
      <c r="AU14" s="12">
        <v>921.94427642137282</v>
      </c>
      <c r="AV14" s="12">
        <v>0</v>
      </c>
      <c r="AW14" s="12">
        <v>0</v>
      </c>
      <c r="AX14" s="12">
        <v>1187.6787467858751</v>
      </c>
      <c r="AY14" s="12">
        <v>0</v>
      </c>
      <c r="AZ14" s="12">
        <v>0</v>
      </c>
      <c r="BA14" s="12">
        <v>214.47175764637365</v>
      </c>
      <c r="BB14" s="12">
        <v>91.061031366417453</v>
      </c>
      <c r="BC14" s="12">
        <v>0</v>
      </c>
      <c r="BD14" s="12"/>
      <c r="BE14" s="12">
        <v>3303.6631160510124</v>
      </c>
      <c r="BF14" s="12">
        <v>2214.1494533859254</v>
      </c>
      <c r="BG14" s="12">
        <v>1846.5995835724846</v>
      </c>
      <c r="BH14" s="12">
        <v>3916.8908857392121</v>
      </c>
      <c r="BI14" s="12">
        <v>4767.4545631507644</v>
      </c>
      <c r="BJ14" s="12">
        <v>7671.8841786301164</v>
      </c>
      <c r="BK14" s="12">
        <v>4922.4682003847129</v>
      </c>
      <c r="BL14" s="12">
        <v>1922.9481144754011</v>
      </c>
      <c r="BM14" s="12">
        <v>1523.8598567148624</v>
      </c>
      <c r="BN14" s="12">
        <v>1039.1857726566925</v>
      </c>
      <c r="BO14" s="12">
        <v>936.41307091447072</v>
      </c>
      <c r="BP14" s="12">
        <v>787.87744076841625</v>
      </c>
      <c r="BQ14" s="12">
        <v>604.15393746034806</v>
      </c>
      <c r="BR14" s="12">
        <v>497.95183408805605</v>
      </c>
      <c r="BS14" s="12">
        <v>2494.6056013386806</v>
      </c>
      <c r="BT14" s="12">
        <v>110.2033284769032</v>
      </c>
      <c r="BU14" s="12"/>
      <c r="BV14" s="12">
        <v>9845.8691797533429</v>
      </c>
      <c r="BW14" s="12">
        <v>1443.3953274998701</v>
      </c>
      <c r="BX14" s="12">
        <v>908.45380566146366</v>
      </c>
      <c r="BY14" s="12">
        <v>1437.4383083253242</v>
      </c>
      <c r="BZ14" s="12">
        <v>2414.1762509091573</v>
      </c>
      <c r="CA14" s="12">
        <v>3147.0416132016062</v>
      </c>
      <c r="CB14" s="12">
        <v>2383.6765109027046</v>
      </c>
      <c r="CC14" s="12">
        <v>3385.2897333283368</v>
      </c>
      <c r="CD14" s="12">
        <v>1564.9692107654105</v>
      </c>
      <c r="CE14" s="12">
        <v>22.264814355281764</v>
      </c>
      <c r="CF14" s="12">
        <v>26.030673163148414</v>
      </c>
      <c r="CG14" s="12">
        <v>24.114709910023279</v>
      </c>
      <c r="CH14" s="12">
        <v>24.114709910023279</v>
      </c>
      <c r="CI14" s="12">
        <v>2651.388554020315</v>
      </c>
      <c r="CJ14" s="12">
        <v>5.5618688589665507E-5</v>
      </c>
      <c r="CK14" s="12">
        <v>5.4757437503110038E-5</v>
      </c>
      <c r="CL14" s="12"/>
      <c r="CM14" s="12">
        <v>321.10748333333333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/>
      <c r="DD14" s="12">
        <v>58.52973018743868</v>
      </c>
      <c r="DE14" s="12">
        <v>13.693503568317123</v>
      </c>
      <c r="DF14" s="12">
        <v>1.7628605245874065</v>
      </c>
      <c r="DG14" s="12">
        <v>13.424186797764317</v>
      </c>
      <c r="DH14" s="12">
        <v>5.697178238860011</v>
      </c>
      <c r="DI14" s="12">
        <v>21.74162873165794</v>
      </c>
      <c r="DJ14" s="12">
        <v>15.106781638033219</v>
      </c>
      <c r="DK14" s="12">
        <v>30.488206897059001</v>
      </c>
      <c r="DL14" s="12">
        <v>3.2729144246647661</v>
      </c>
      <c r="DM14" s="12">
        <v>2.9319668972140316E-3</v>
      </c>
      <c r="DN14" s="12">
        <v>3.4278782121730817E-3</v>
      </c>
      <c r="DO14" s="12">
        <v>3.1755724554395296E-3</v>
      </c>
      <c r="DP14" s="12">
        <v>3.1755724554395296E-3</v>
      </c>
      <c r="DQ14" s="12">
        <v>18.933743481597077</v>
      </c>
      <c r="DR14" s="12">
        <v>3.5049415916348427E-15</v>
      </c>
      <c r="DS14" s="12">
        <v>3.4506678424571267E-15</v>
      </c>
      <c r="DT14" s="12"/>
      <c r="DU14" s="12">
        <v>879.10349351774732</v>
      </c>
      <c r="DV14" s="12">
        <v>4.3009446811043581</v>
      </c>
      <c r="DW14" s="12">
        <v>331.48616647580343</v>
      </c>
      <c r="DX14" s="12">
        <v>13.485263134373183</v>
      </c>
      <c r="DY14" s="12">
        <v>237.44050340943625</v>
      </c>
      <c r="DZ14" s="12">
        <v>65.378586570836916</v>
      </c>
      <c r="EA14" s="12">
        <v>79.388427502549234</v>
      </c>
      <c r="EB14" s="12">
        <v>91.332935609182329</v>
      </c>
      <c r="EC14" s="12">
        <v>107.661363480651</v>
      </c>
      <c r="ED14" s="12">
        <v>0</v>
      </c>
      <c r="EE14" s="12">
        <v>0</v>
      </c>
      <c r="EF14" s="12">
        <v>0</v>
      </c>
      <c r="EG14" s="12">
        <v>0</v>
      </c>
      <c r="EH14" s="12">
        <v>762.07546778144649</v>
      </c>
      <c r="EI14" s="12">
        <v>1387.2249707778888</v>
      </c>
      <c r="EJ14" s="12">
        <v>0</v>
      </c>
      <c r="EK14" s="12"/>
      <c r="EL14" s="12">
        <v>25.77484349546441</v>
      </c>
      <c r="EM14" s="12">
        <v>24.141705644444446</v>
      </c>
      <c r="EN14" s="12">
        <v>15.142367277777774</v>
      </c>
      <c r="EO14" s="12">
        <v>96.764155555555547</v>
      </c>
      <c r="EP14" s="12">
        <v>231.11442458391204</v>
      </c>
      <c r="EQ14" s="12">
        <v>123.15461426237701</v>
      </c>
      <c r="ER14" s="12">
        <v>229.88608468333334</v>
      </c>
      <c r="ES14" s="12">
        <v>576.81715184722225</v>
      </c>
      <c r="ET14" s="12">
        <v>346.08134097222216</v>
      </c>
      <c r="EU14" s="12">
        <v>33.897164722222222</v>
      </c>
      <c r="EV14" s="12">
        <v>33.990033666666662</v>
      </c>
      <c r="EW14" s="12">
        <v>183.89716472222219</v>
      </c>
      <c r="EX14" s="12">
        <v>422.87112305555559</v>
      </c>
      <c r="EY14" s="12">
        <v>0.94577583333333326</v>
      </c>
      <c r="EZ14" s="12">
        <v>18.308919833333334</v>
      </c>
      <c r="FA14" s="12">
        <v>0</v>
      </c>
      <c r="FB14" s="12"/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/>
      <c r="FT14" s="12">
        <v>0</v>
      </c>
      <c r="FU14" s="12">
        <v>2.6114639999999998</v>
      </c>
      <c r="FV14" s="12">
        <v>3.0224299874999998</v>
      </c>
      <c r="FW14" s="12">
        <v>5.7647899166666656</v>
      </c>
      <c r="FX14" s="12">
        <v>11.587612366666665</v>
      </c>
      <c r="FY14" s="12">
        <v>22.986296270833328</v>
      </c>
      <c r="FZ14" s="12">
        <v>23.049272425000002</v>
      </c>
      <c r="GA14" s="12">
        <v>22.986296270833328</v>
      </c>
      <c r="GB14" s="12">
        <v>22.986296270833328</v>
      </c>
      <c r="GC14" s="12">
        <v>22.986296270833328</v>
      </c>
      <c r="GD14" s="12">
        <v>434.48612642916663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/>
      <c r="GK14" s="12">
        <v>4988.4272012585825</v>
      </c>
      <c r="GL14" s="12">
        <v>3970.7078299328996</v>
      </c>
      <c r="GM14" s="12">
        <v>2415.7875471563834</v>
      </c>
      <c r="GN14" s="12">
        <v>4540.9304256341738</v>
      </c>
      <c r="GO14" s="12">
        <v>5562.7221827064614</v>
      </c>
      <c r="GP14" s="12">
        <v>8193.5479667771287</v>
      </c>
      <c r="GQ14" s="12">
        <v>4925.8031585538911</v>
      </c>
      <c r="GR14" s="12">
        <v>2844.892390896774</v>
      </c>
      <c r="GS14" s="12">
        <v>1523.8598567148624</v>
      </c>
      <c r="GT14" s="12">
        <v>1039.1857726566925</v>
      </c>
      <c r="GU14" s="12">
        <v>2124.0918177003459</v>
      </c>
      <c r="GV14" s="12">
        <v>787.87744076841625</v>
      </c>
      <c r="GW14" s="12">
        <v>604.15393746034806</v>
      </c>
      <c r="GX14" s="12">
        <v>712.42359173442969</v>
      </c>
      <c r="GY14" s="12">
        <v>2585.666632705098</v>
      </c>
      <c r="GZ14" s="12">
        <v>110.2033284769032</v>
      </c>
      <c r="HB14" s="12">
        <v>11130.384730287326</v>
      </c>
      <c r="HC14" s="12">
        <v>1485.5314813937359</v>
      </c>
      <c r="HD14" s="12">
        <v>1256.8451999396323</v>
      </c>
      <c r="HE14" s="12">
        <v>1561.1119138130173</v>
      </c>
      <c r="HF14" s="12">
        <v>2888.4283571413653</v>
      </c>
      <c r="HG14" s="12">
        <v>3357.3164427664778</v>
      </c>
      <c r="HH14" s="12">
        <v>2708.0578047266204</v>
      </c>
      <c r="HI14" s="12">
        <v>4083.9280276818004</v>
      </c>
      <c r="HJ14" s="12">
        <v>2021.9848296429486</v>
      </c>
      <c r="HK14" s="12">
        <v>56.164911044401201</v>
      </c>
      <c r="HL14" s="12">
        <v>60.024134708027248</v>
      </c>
      <c r="HM14" s="12">
        <v>208.01505020470091</v>
      </c>
      <c r="HN14" s="12">
        <v>446.98900853803428</v>
      </c>
      <c r="HO14" s="12">
        <v>3433.343541116692</v>
      </c>
      <c r="HP14" s="12">
        <v>1405.5339462299107</v>
      </c>
      <c r="HQ14" s="12">
        <v>5.4757437506560708E-5</v>
      </c>
      <c r="HR14" s="6"/>
      <c r="HS14" s="12"/>
      <c r="HT14" s="12"/>
      <c r="HV14" s="21" t="b">
        <f t="shared" si="15"/>
        <v>1</v>
      </c>
      <c r="HW14" s="21" t="b">
        <f t="shared" si="13"/>
        <v>1</v>
      </c>
      <c r="HX14" s="21" t="b">
        <f t="shared" si="13"/>
        <v>1</v>
      </c>
      <c r="HY14" s="21" t="b">
        <f t="shared" si="13"/>
        <v>1</v>
      </c>
      <c r="HZ14" s="21" t="b">
        <f t="shared" si="13"/>
        <v>1</v>
      </c>
      <c r="IA14" s="21" t="b">
        <f t="shared" si="13"/>
        <v>1</v>
      </c>
      <c r="IB14" s="21" t="b">
        <f t="shared" si="13"/>
        <v>1</v>
      </c>
      <c r="IC14" s="21" t="b">
        <f t="shared" si="13"/>
        <v>1</v>
      </c>
      <c r="ID14" s="21" t="b">
        <f t="shared" si="13"/>
        <v>1</v>
      </c>
      <c r="IE14" s="21" t="b">
        <f t="shared" si="13"/>
        <v>1</v>
      </c>
      <c r="IF14" s="21" t="b">
        <f t="shared" si="13"/>
        <v>1</v>
      </c>
      <c r="IG14" s="21" t="b">
        <f t="shared" si="13"/>
        <v>1</v>
      </c>
      <c r="IH14" s="21" t="b">
        <f t="shared" si="13"/>
        <v>1</v>
      </c>
      <c r="II14" s="21" t="b">
        <f t="shared" si="13"/>
        <v>1</v>
      </c>
      <c r="IJ14" s="21" t="b">
        <f t="shared" si="13"/>
        <v>1</v>
      </c>
      <c r="IK14" s="21" t="b">
        <f t="shared" si="13"/>
        <v>1</v>
      </c>
      <c r="IM14" s="21" t="b">
        <f t="shared" si="16"/>
        <v>1</v>
      </c>
      <c r="IN14" s="21" t="b">
        <f t="shared" si="14"/>
        <v>1</v>
      </c>
      <c r="IO14" s="21" t="b">
        <f t="shared" si="14"/>
        <v>1</v>
      </c>
      <c r="IP14" s="21" t="b">
        <f t="shared" si="14"/>
        <v>1</v>
      </c>
      <c r="IQ14" s="21" t="b">
        <f t="shared" si="14"/>
        <v>1</v>
      </c>
      <c r="IR14" s="21" t="b">
        <f t="shared" si="14"/>
        <v>1</v>
      </c>
      <c r="IS14" s="21" t="b">
        <f t="shared" si="14"/>
        <v>1</v>
      </c>
      <c r="IT14" s="21" t="b">
        <f t="shared" si="14"/>
        <v>1</v>
      </c>
      <c r="IU14" s="21" t="b">
        <f t="shared" si="14"/>
        <v>1</v>
      </c>
      <c r="IV14" s="21" t="b">
        <f t="shared" si="14"/>
        <v>1</v>
      </c>
      <c r="IW14" s="21" t="b">
        <f t="shared" si="14"/>
        <v>1</v>
      </c>
      <c r="IX14" s="21" t="b">
        <f t="shared" si="14"/>
        <v>1</v>
      </c>
      <c r="IY14" s="21" t="b">
        <f t="shared" si="14"/>
        <v>1</v>
      </c>
      <c r="IZ14" s="21" t="b">
        <f t="shared" si="14"/>
        <v>1</v>
      </c>
      <c r="JA14" s="21" t="b">
        <f t="shared" si="14"/>
        <v>1</v>
      </c>
      <c r="JB14" s="21" t="b">
        <f t="shared" si="14"/>
        <v>1</v>
      </c>
      <c r="JD14" s="21"/>
    </row>
    <row r="15" spans="2:264" x14ac:dyDescent="0.25">
      <c r="B15" s="24">
        <v>41729</v>
      </c>
      <c r="C15" s="25"/>
      <c r="D15" s="26"/>
      <c r="E15" s="10"/>
      <c r="F15" s="12">
        <v>1343.668353173294</v>
      </c>
      <c r="G15" s="12">
        <v>12.338333333333335</v>
      </c>
      <c r="H15" s="12">
        <v>19.979199999999999</v>
      </c>
      <c r="I15" s="12">
        <v>57.111591666666662</v>
      </c>
      <c r="J15" s="12">
        <v>50.209850000000003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20"/>
      <c r="W15" s="12">
        <v>250.0277777777778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/>
      <c r="AN15" s="12">
        <v>1750.7954762969741</v>
      </c>
      <c r="AO15" s="12">
        <v>556.8496302505655</v>
      </c>
      <c r="AP15" s="12">
        <v>0</v>
      </c>
      <c r="AQ15" s="12">
        <v>616.38277930081426</v>
      </c>
      <c r="AR15" s="12">
        <v>675.62373848317759</v>
      </c>
      <c r="AS15" s="12">
        <v>521.66378814701181</v>
      </c>
      <c r="AT15" s="12">
        <v>3.334958169178472</v>
      </c>
      <c r="AU15" s="12">
        <v>923.39635608935816</v>
      </c>
      <c r="AV15" s="12">
        <v>0</v>
      </c>
      <c r="AW15" s="12">
        <v>0</v>
      </c>
      <c r="AX15" s="12">
        <v>1399.4322416239384</v>
      </c>
      <c r="AY15" s="12">
        <v>0</v>
      </c>
      <c r="AZ15" s="12">
        <v>0</v>
      </c>
      <c r="BA15" s="12">
        <v>355.10651281394661</v>
      </c>
      <c r="BB15" s="12">
        <v>178.09721877216296</v>
      </c>
      <c r="BC15" s="12">
        <v>0</v>
      </c>
      <c r="BD15" s="12"/>
      <c r="BE15" s="12">
        <v>3606.780258654042</v>
      </c>
      <c r="BF15" s="12">
        <v>2208.5744785325978</v>
      </c>
      <c r="BG15" s="12">
        <v>1856.5947067117788</v>
      </c>
      <c r="BH15" s="12">
        <v>3611.1777970767071</v>
      </c>
      <c r="BI15" s="12">
        <v>4788.2652560599681</v>
      </c>
      <c r="BJ15" s="12">
        <v>7854.8384645502383</v>
      </c>
      <c r="BK15" s="12">
        <v>4966.9947635878507</v>
      </c>
      <c r="BL15" s="12">
        <v>2024.7878331060895</v>
      </c>
      <c r="BM15" s="12">
        <v>1565.4315463398525</v>
      </c>
      <c r="BN15" s="12">
        <v>1099.2721638246726</v>
      </c>
      <c r="BO15" s="12">
        <v>945.50161647704658</v>
      </c>
      <c r="BP15" s="12">
        <v>800.3847196853726</v>
      </c>
      <c r="BQ15" s="12">
        <v>615.36349820592102</v>
      </c>
      <c r="BR15" s="12">
        <v>512.9867152341069</v>
      </c>
      <c r="BS15" s="12">
        <v>2537.3382510040205</v>
      </c>
      <c r="BT15" s="12">
        <v>106.3441692470234</v>
      </c>
      <c r="BU15" s="12"/>
      <c r="BV15" s="12">
        <v>9712.0180866343671</v>
      </c>
      <c r="BW15" s="12">
        <v>1489.7890872256698</v>
      </c>
      <c r="BX15" s="12">
        <v>863.87679765901748</v>
      </c>
      <c r="BY15" s="12">
        <v>1659.9038538909465</v>
      </c>
      <c r="BZ15" s="12">
        <v>2428.1344562064533</v>
      </c>
      <c r="CA15" s="12">
        <v>3239.3626163829244</v>
      </c>
      <c r="CB15" s="12">
        <v>2497.2419526582926</v>
      </c>
      <c r="CC15" s="12">
        <v>3557.9283123309256</v>
      </c>
      <c r="CD15" s="12">
        <v>1640.755560661167</v>
      </c>
      <c r="CE15" s="12">
        <v>23.611796540687344</v>
      </c>
      <c r="CF15" s="12">
        <v>23.547283435384919</v>
      </c>
      <c r="CG15" s="12">
        <v>23.547283435384919</v>
      </c>
      <c r="CH15" s="12">
        <v>23.547283435384919</v>
      </c>
      <c r="CI15" s="12">
        <v>2711.7338603575254</v>
      </c>
      <c r="CJ15" s="12">
        <v>5.4056624899510649E-5</v>
      </c>
      <c r="CK15" s="12">
        <v>5.4071426823086624E-5</v>
      </c>
      <c r="CL15" s="12"/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/>
      <c r="DD15" s="12">
        <v>71.521063041953468</v>
      </c>
      <c r="DE15" s="12">
        <v>10.775609116593797</v>
      </c>
      <c r="DF15" s="12">
        <v>2.3557498847571585</v>
      </c>
      <c r="DG15" s="12">
        <v>34.832986438112137</v>
      </c>
      <c r="DH15" s="12">
        <v>8.8104786837787756</v>
      </c>
      <c r="DI15" s="12">
        <v>29.186901642042599</v>
      </c>
      <c r="DJ15" s="12">
        <v>20.269543228975966</v>
      </c>
      <c r="DK15" s="12">
        <v>40.850720208876673</v>
      </c>
      <c r="DL15" s="12">
        <v>4.41797559273527</v>
      </c>
      <c r="DM15" s="12">
        <v>4.3030797055897572E-3</v>
      </c>
      <c r="DN15" s="12">
        <v>4.2913226572138304E-3</v>
      </c>
      <c r="DO15" s="12">
        <v>4.2913226572138304E-3</v>
      </c>
      <c r="DP15" s="12">
        <v>4.2913226572138304E-3</v>
      </c>
      <c r="DQ15" s="12">
        <v>25.244575374496691</v>
      </c>
      <c r="DR15" s="12">
        <v>4.6990788898316508E-15</v>
      </c>
      <c r="DS15" s="12">
        <v>4.7003656036569054E-15</v>
      </c>
      <c r="DT15" s="12"/>
      <c r="DU15" s="12">
        <v>304.40397899153379</v>
      </c>
      <c r="DV15" s="12">
        <v>331.56100509782601</v>
      </c>
      <c r="DW15" s="12">
        <v>4.4893780690450633</v>
      </c>
      <c r="DX15" s="12">
        <v>13.897361105377337</v>
      </c>
      <c r="DY15" s="12">
        <v>238.32026100542177</v>
      </c>
      <c r="DZ15" s="12">
        <v>68.615719846821079</v>
      </c>
      <c r="EA15" s="12">
        <v>80.496118480447848</v>
      </c>
      <c r="EB15" s="12">
        <v>94.157922679972899</v>
      </c>
      <c r="EC15" s="12">
        <v>111.12103346772882</v>
      </c>
      <c r="ED15" s="12">
        <v>0</v>
      </c>
      <c r="EE15" s="12">
        <v>0</v>
      </c>
      <c r="EF15" s="12">
        <v>0</v>
      </c>
      <c r="EG15" s="12">
        <v>0</v>
      </c>
      <c r="EH15" s="12">
        <v>782.30436203722024</v>
      </c>
      <c r="EI15" s="12">
        <v>1416.6555377008347</v>
      </c>
      <c r="EJ15" s="12">
        <v>0</v>
      </c>
      <c r="EK15" s="12"/>
      <c r="EL15" s="12">
        <v>24.141705644444446</v>
      </c>
      <c r="EM15" s="12">
        <v>15.142367277777776</v>
      </c>
      <c r="EN15" s="12">
        <v>35.986843611111105</v>
      </c>
      <c r="EO15" s="12">
        <v>85.924467382638881</v>
      </c>
      <c r="EP15" s="12">
        <v>230.31494848910592</v>
      </c>
      <c r="EQ15" s="12">
        <v>101.63882719444445</v>
      </c>
      <c r="ER15" s="12">
        <v>229.85496489166664</v>
      </c>
      <c r="ES15" s="12">
        <v>576.81715184722225</v>
      </c>
      <c r="ET15" s="12">
        <v>343.28055972222222</v>
      </c>
      <c r="EU15" s="12">
        <v>33.897164722222222</v>
      </c>
      <c r="EV15" s="12">
        <v>33.990033666666662</v>
      </c>
      <c r="EW15" s="12">
        <v>183.89716472222219</v>
      </c>
      <c r="EX15" s="12">
        <v>422.87112305555559</v>
      </c>
      <c r="EY15" s="12">
        <v>0.94577583333333326</v>
      </c>
      <c r="EZ15" s="12">
        <v>18.308919833333331</v>
      </c>
      <c r="FA15" s="12">
        <v>0</v>
      </c>
      <c r="FB15" s="12"/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/>
      <c r="FT15" s="12">
        <v>2.6114639999999998</v>
      </c>
      <c r="FU15" s="12">
        <v>3.0224299874999998</v>
      </c>
      <c r="FV15" s="12">
        <v>0</v>
      </c>
      <c r="FW15" s="12">
        <v>5.7647899166666656</v>
      </c>
      <c r="FX15" s="12">
        <v>11.587612366666665</v>
      </c>
      <c r="FY15" s="12">
        <v>22.986296270833328</v>
      </c>
      <c r="FZ15" s="12">
        <v>23.049272425000002</v>
      </c>
      <c r="GA15" s="12">
        <v>22.986296270833328</v>
      </c>
      <c r="GB15" s="12">
        <v>22.986296270833328</v>
      </c>
      <c r="GC15" s="12">
        <v>22.986296270833328</v>
      </c>
      <c r="GD15" s="12">
        <v>434.48612642916663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/>
      <c r="GK15" s="12">
        <v>6951.2718659020884</v>
      </c>
      <c r="GL15" s="12">
        <v>2777.7624421164965</v>
      </c>
      <c r="GM15" s="12">
        <v>1876.5739067117788</v>
      </c>
      <c r="GN15" s="12">
        <v>4284.6721680441879</v>
      </c>
      <c r="GO15" s="12">
        <v>5514.0988445431458</v>
      </c>
      <c r="GP15" s="12">
        <v>8376.5022526972498</v>
      </c>
      <c r="GQ15" s="12">
        <v>4970.3297217570289</v>
      </c>
      <c r="GR15" s="12">
        <v>2948.1841891954477</v>
      </c>
      <c r="GS15" s="12">
        <v>1565.4315463398525</v>
      </c>
      <c r="GT15" s="12">
        <v>1099.2721638246726</v>
      </c>
      <c r="GU15" s="12">
        <v>2344.9338581009852</v>
      </c>
      <c r="GV15" s="12">
        <v>800.3847196853726</v>
      </c>
      <c r="GW15" s="12">
        <v>615.36349820592102</v>
      </c>
      <c r="GX15" s="12">
        <v>868.09322804805356</v>
      </c>
      <c r="GY15" s="12">
        <v>2715.4354697761837</v>
      </c>
      <c r="GZ15" s="12">
        <v>106.3441692470234</v>
      </c>
      <c r="HB15" s="12">
        <v>10112.084834312298</v>
      </c>
      <c r="HC15" s="12">
        <v>1847.2680687178674</v>
      </c>
      <c r="HD15" s="12">
        <v>906.70876922393086</v>
      </c>
      <c r="HE15" s="12">
        <v>1794.5586688170747</v>
      </c>
      <c r="HF15" s="12">
        <v>2905.5801443847599</v>
      </c>
      <c r="HG15" s="12">
        <v>3438.8040650662324</v>
      </c>
      <c r="HH15" s="12">
        <v>2827.862579259383</v>
      </c>
      <c r="HI15" s="12">
        <v>4269.7541070669977</v>
      </c>
      <c r="HJ15" s="12">
        <v>2099.5751294438533</v>
      </c>
      <c r="HK15" s="12">
        <v>57.513264342615159</v>
      </c>
      <c r="HL15" s="12">
        <v>57.541608424708798</v>
      </c>
      <c r="HM15" s="12">
        <v>207.44873948026432</v>
      </c>
      <c r="HN15" s="12">
        <v>446.42269781359772</v>
      </c>
      <c r="HO15" s="12">
        <v>3520.2285736025756</v>
      </c>
      <c r="HP15" s="12">
        <v>1434.9645115907929</v>
      </c>
      <c r="HQ15" s="12">
        <v>5.4071426827786993E-5</v>
      </c>
      <c r="HR15" s="6"/>
      <c r="HS15" s="12"/>
      <c r="HT15" s="12"/>
      <c r="HV15" s="21" t="b">
        <f t="shared" si="15"/>
        <v>1</v>
      </c>
      <c r="HW15" s="21" t="b">
        <f t="shared" si="13"/>
        <v>1</v>
      </c>
      <c r="HX15" s="21" t="b">
        <f t="shared" si="13"/>
        <v>1</v>
      </c>
      <c r="HY15" s="21" t="b">
        <f t="shared" si="13"/>
        <v>1</v>
      </c>
      <c r="HZ15" s="21" t="b">
        <f t="shared" si="13"/>
        <v>1</v>
      </c>
      <c r="IA15" s="21" t="b">
        <f t="shared" si="13"/>
        <v>1</v>
      </c>
      <c r="IB15" s="21" t="b">
        <f t="shared" si="13"/>
        <v>1</v>
      </c>
      <c r="IC15" s="21" t="b">
        <f t="shared" si="13"/>
        <v>1</v>
      </c>
      <c r="ID15" s="21" t="b">
        <f t="shared" si="13"/>
        <v>1</v>
      </c>
      <c r="IE15" s="21" t="b">
        <f t="shared" si="13"/>
        <v>1</v>
      </c>
      <c r="IF15" s="21" t="b">
        <f t="shared" si="13"/>
        <v>1</v>
      </c>
      <c r="IG15" s="21" t="b">
        <f t="shared" si="13"/>
        <v>1</v>
      </c>
      <c r="IH15" s="21" t="b">
        <f t="shared" si="13"/>
        <v>1</v>
      </c>
      <c r="II15" s="21" t="b">
        <f t="shared" si="13"/>
        <v>1</v>
      </c>
      <c r="IJ15" s="21" t="b">
        <f t="shared" si="13"/>
        <v>1</v>
      </c>
      <c r="IK15" s="21" t="b">
        <f t="shared" si="13"/>
        <v>1</v>
      </c>
      <c r="IM15" s="21" t="b">
        <f t="shared" si="16"/>
        <v>1</v>
      </c>
      <c r="IN15" s="21" t="b">
        <f t="shared" si="14"/>
        <v>1</v>
      </c>
      <c r="IO15" s="21" t="b">
        <f t="shared" si="14"/>
        <v>1</v>
      </c>
      <c r="IP15" s="21" t="b">
        <f t="shared" si="14"/>
        <v>1</v>
      </c>
      <c r="IQ15" s="21" t="b">
        <f t="shared" si="14"/>
        <v>1</v>
      </c>
      <c r="IR15" s="21" t="b">
        <f t="shared" si="14"/>
        <v>1</v>
      </c>
      <c r="IS15" s="21" t="b">
        <f t="shared" si="14"/>
        <v>1</v>
      </c>
      <c r="IT15" s="21" t="b">
        <f t="shared" si="14"/>
        <v>1</v>
      </c>
      <c r="IU15" s="21" t="b">
        <f t="shared" si="14"/>
        <v>1</v>
      </c>
      <c r="IV15" s="21" t="b">
        <f t="shared" si="14"/>
        <v>1</v>
      </c>
      <c r="IW15" s="21" t="b">
        <f t="shared" si="14"/>
        <v>1</v>
      </c>
      <c r="IX15" s="21" t="b">
        <f t="shared" si="14"/>
        <v>1</v>
      </c>
      <c r="IY15" s="21" t="b">
        <f t="shared" si="14"/>
        <v>1</v>
      </c>
      <c r="IZ15" s="21" t="b">
        <f t="shared" si="14"/>
        <v>1</v>
      </c>
      <c r="JA15" s="21" t="b">
        <f t="shared" si="14"/>
        <v>1</v>
      </c>
      <c r="JB15" s="21" t="b">
        <f t="shared" si="14"/>
        <v>1</v>
      </c>
      <c r="JD15" s="21"/>
    </row>
    <row r="16" spans="2:264" x14ac:dyDescent="0.25">
      <c r="B16" s="24">
        <v>41759</v>
      </c>
      <c r="C16" s="25"/>
      <c r="D16" s="26"/>
      <c r="E16" s="10"/>
      <c r="F16" s="12">
        <v>915.23519465925733</v>
      </c>
      <c r="G16" s="12">
        <v>19.979199999999999</v>
      </c>
      <c r="H16" s="12">
        <v>0</v>
      </c>
      <c r="I16" s="12">
        <v>81.558841666666652</v>
      </c>
      <c r="J16" s="12">
        <v>25.762599999999999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20"/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/>
      <c r="AN16" s="12">
        <v>557.88718108389901</v>
      </c>
      <c r="AO16" s="12">
        <v>0</v>
      </c>
      <c r="AP16" s="12">
        <v>814.14303930653944</v>
      </c>
      <c r="AQ16" s="12">
        <v>742.91180551606044</v>
      </c>
      <c r="AR16" s="12">
        <v>376.15429892473719</v>
      </c>
      <c r="AS16" s="12">
        <v>652.4820568705278</v>
      </c>
      <c r="AT16" s="12">
        <v>1.4770910353513889</v>
      </c>
      <c r="AU16" s="12">
        <v>1037.7834881453123</v>
      </c>
      <c r="AV16" s="12">
        <v>0</v>
      </c>
      <c r="AW16" s="12">
        <v>0</v>
      </c>
      <c r="AX16" s="12">
        <v>1356.1414409649194</v>
      </c>
      <c r="AY16" s="12">
        <v>0</v>
      </c>
      <c r="AZ16" s="12">
        <v>0</v>
      </c>
      <c r="BA16" s="12">
        <v>353.43619054346414</v>
      </c>
      <c r="BB16" s="12">
        <v>179.28991463955134</v>
      </c>
      <c r="BC16" s="12">
        <v>0</v>
      </c>
      <c r="BD16" s="12"/>
      <c r="BE16" s="12">
        <v>3944.3329821126044</v>
      </c>
      <c r="BF16" s="12">
        <v>2169.7481782152904</v>
      </c>
      <c r="BG16" s="12">
        <v>2017.1699627059113</v>
      </c>
      <c r="BH16" s="12">
        <v>3391.9825103150092</v>
      </c>
      <c r="BI16" s="12">
        <v>4843.2191340248146</v>
      </c>
      <c r="BJ16" s="12">
        <v>8021.1484206327223</v>
      </c>
      <c r="BK16" s="12">
        <v>4953.4518386443142</v>
      </c>
      <c r="BL16" s="12">
        <v>2038.8863904988384</v>
      </c>
      <c r="BM16" s="12">
        <v>1556.3179657758408</v>
      </c>
      <c r="BN16" s="12">
        <v>1103.4361837345525</v>
      </c>
      <c r="BO16" s="12">
        <v>942.00104393019683</v>
      </c>
      <c r="BP16" s="12">
        <v>802.52492363368845</v>
      </c>
      <c r="BQ16" s="12">
        <v>619.76470392938438</v>
      </c>
      <c r="BR16" s="12">
        <v>513.17139967977221</v>
      </c>
      <c r="BS16" s="12">
        <v>2546.0216569558779</v>
      </c>
      <c r="BT16" s="12">
        <v>101.98687224621436</v>
      </c>
      <c r="BU16" s="12"/>
      <c r="BV16" s="12">
        <v>8823.7272692208408</v>
      </c>
      <c r="BW16" s="12">
        <v>1548.888547391344</v>
      </c>
      <c r="BX16" s="12">
        <v>937.40089916431509</v>
      </c>
      <c r="BY16" s="12">
        <v>2341.6703400730607</v>
      </c>
      <c r="BZ16" s="12">
        <v>2446.4875690576532</v>
      </c>
      <c r="CA16" s="12">
        <v>3128.495243060675</v>
      </c>
      <c r="CB16" s="12">
        <v>2413.119341478457</v>
      </c>
      <c r="CC16" s="12">
        <v>3425.065768280162</v>
      </c>
      <c r="CD16" s="12">
        <v>1595.8405226232594</v>
      </c>
      <c r="CE16" s="12">
        <v>22.822106336353194</v>
      </c>
      <c r="CF16" s="12">
        <v>22.759750854559883</v>
      </c>
      <c r="CG16" s="12">
        <v>22.759750854559883</v>
      </c>
      <c r="CH16" s="12">
        <v>22.759750854559883</v>
      </c>
      <c r="CI16" s="12">
        <v>2617.7987865536243</v>
      </c>
      <c r="CJ16" s="12">
        <v>5.2827385942865239E-5</v>
      </c>
      <c r="CK16" s="12">
        <v>5.284185127307962E-5</v>
      </c>
      <c r="CL16" s="12"/>
      <c r="CM16" s="12">
        <v>513.91533277777785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/>
      <c r="DD16" s="12">
        <v>62.035769162701527</v>
      </c>
      <c r="DE16" s="12">
        <v>10.281724050461422</v>
      </c>
      <c r="DF16" s="12">
        <v>2.303587210589209</v>
      </c>
      <c r="DG16" s="12">
        <v>16.38957904708699</v>
      </c>
      <c r="DH16" s="12">
        <v>4.9763862322947068</v>
      </c>
      <c r="DI16" s="12">
        <v>27.367281143674365</v>
      </c>
      <c r="DJ16" s="12">
        <v>18.435769997341794</v>
      </c>
      <c r="DK16" s="12">
        <v>38.988157493636891</v>
      </c>
      <c r="DL16" s="12">
        <v>2.598917753875948</v>
      </c>
      <c r="DM16" s="12">
        <v>2.4176020100884405E-3</v>
      </c>
      <c r="DN16" s="12">
        <v>2.4109965401155216E-3</v>
      </c>
      <c r="DO16" s="12">
        <v>2.4109965401155216E-3</v>
      </c>
      <c r="DP16" s="12">
        <v>2.4109965401155216E-3</v>
      </c>
      <c r="DQ16" s="12">
        <v>24.533057276706504</v>
      </c>
      <c r="DR16" s="12">
        <v>2.6374355098979424E-15</v>
      </c>
      <c r="DS16" s="12">
        <v>2.638157699248955E-15</v>
      </c>
      <c r="DT16" s="12"/>
      <c r="DU16" s="12">
        <v>931.69479967215966</v>
      </c>
      <c r="DV16" s="12">
        <v>4.560866330395756</v>
      </c>
      <c r="DW16" s="12">
        <v>4.6202414386119797</v>
      </c>
      <c r="DX16" s="12">
        <v>14.300544878455648</v>
      </c>
      <c r="DY16" s="12">
        <v>239.20454014659572</v>
      </c>
      <c r="DZ16" s="12">
        <v>70.657013696951267</v>
      </c>
      <c r="EA16" s="12">
        <v>82.895226584405378</v>
      </c>
      <c r="EB16" s="12">
        <v>97.059558911550354</v>
      </c>
      <c r="EC16" s="12">
        <v>114.26974993005086</v>
      </c>
      <c r="ED16" s="12">
        <v>0</v>
      </c>
      <c r="EE16" s="12">
        <v>0</v>
      </c>
      <c r="EF16" s="12">
        <v>0</v>
      </c>
      <c r="EG16" s="12">
        <v>0</v>
      </c>
      <c r="EH16" s="12">
        <v>799.06687731839611</v>
      </c>
      <c r="EI16" s="12">
        <v>1440.0462010435015</v>
      </c>
      <c r="EJ16" s="12">
        <v>0</v>
      </c>
      <c r="EK16" s="12"/>
      <c r="EL16" s="12">
        <v>15.14236727777778</v>
      </c>
      <c r="EM16" s="12">
        <v>35.986843611111105</v>
      </c>
      <c r="EN16" s="12">
        <v>23.731300347222223</v>
      </c>
      <c r="EO16" s="12">
        <v>86.485292613194446</v>
      </c>
      <c r="EP16" s="12">
        <v>230.16452855577256</v>
      </c>
      <c r="EQ16" s="12">
        <v>101.77744157222222</v>
      </c>
      <c r="ER16" s="12">
        <v>229.71635051388887</v>
      </c>
      <c r="ES16" s="12">
        <v>559.29905731388885</v>
      </c>
      <c r="ET16" s="12">
        <v>342.21805972222216</v>
      </c>
      <c r="EU16" s="12">
        <v>33.927720277777773</v>
      </c>
      <c r="EV16" s="12">
        <v>33.95947811111111</v>
      </c>
      <c r="EW16" s="12">
        <v>183.89716472222219</v>
      </c>
      <c r="EX16" s="12">
        <v>417.3100119444444</v>
      </c>
      <c r="EY16" s="12">
        <v>0.94577583333333326</v>
      </c>
      <c r="EZ16" s="12">
        <v>18.308919833333331</v>
      </c>
      <c r="FA16" s="12">
        <v>0</v>
      </c>
      <c r="FB16" s="12"/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/>
      <c r="FT16" s="12">
        <v>3.0224299874999998</v>
      </c>
      <c r="FU16" s="12">
        <v>0</v>
      </c>
      <c r="FV16" s="12">
        <v>2.6404802666666667</v>
      </c>
      <c r="FW16" s="12">
        <v>5.7938061833333325</v>
      </c>
      <c r="FX16" s="12">
        <v>11.529579833333331</v>
      </c>
      <c r="FY16" s="12">
        <v>23.015312537499995</v>
      </c>
      <c r="FZ16" s="12">
        <v>23.020256158333332</v>
      </c>
      <c r="GA16" s="12">
        <v>22.986296270833328</v>
      </c>
      <c r="GB16" s="12">
        <v>22.986296270833328</v>
      </c>
      <c r="GC16" s="12">
        <v>23.015312537499995</v>
      </c>
      <c r="GD16" s="12">
        <v>431.84564616250003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/>
      <c r="GK16" s="12">
        <v>5417.4553578557607</v>
      </c>
      <c r="GL16" s="12">
        <v>2189.7273782152906</v>
      </c>
      <c r="GM16" s="12">
        <v>2831.3130020124509</v>
      </c>
      <c r="GN16" s="12">
        <v>4216.4531574977364</v>
      </c>
      <c r="GO16" s="12">
        <v>5245.1360329495519</v>
      </c>
      <c r="GP16" s="12">
        <v>8673.6304775032495</v>
      </c>
      <c r="GQ16" s="12">
        <v>4954.928929679666</v>
      </c>
      <c r="GR16" s="12">
        <v>3076.6698786441507</v>
      </c>
      <c r="GS16" s="12">
        <v>1556.3179657758408</v>
      </c>
      <c r="GT16" s="12">
        <v>1103.4361837345525</v>
      </c>
      <c r="GU16" s="12">
        <v>2298.1424848951165</v>
      </c>
      <c r="GV16" s="12">
        <v>802.52492363368845</v>
      </c>
      <c r="GW16" s="12">
        <v>619.76470392938438</v>
      </c>
      <c r="GX16" s="12">
        <v>866.60759022323634</v>
      </c>
      <c r="GY16" s="12">
        <v>2725.3115715954291</v>
      </c>
      <c r="GZ16" s="12">
        <v>101.98687224621436</v>
      </c>
      <c r="HB16" s="12">
        <v>10346.515538111258</v>
      </c>
      <c r="HC16" s="12">
        <v>1599.7179813833122</v>
      </c>
      <c r="HD16" s="12">
        <v>968.05602816073849</v>
      </c>
      <c r="HE16" s="12">
        <v>2458.8457566117977</v>
      </c>
      <c r="HF16" s="12">
        <v>2920.8330239923162</v>
      </c>
      <c r="HG16" s="12">
        <v>3328.2969794735232</v>
      </c>
      <c r="HH16" s="12">
        <v>2744.1666885740929</v>
      </c>
      <c r="HI16" s="12">
        <v>4120.4125419992388</v>
      </c>
      <c r="HJ16" s="12">
        <v>2054.9272500294082</v>
      </c>
      <c r="HK16" s="12">
        <v>56.752244216141051</v>
      </c>
      <c r="HL16" s="12">
        <v>56.721639962211107</v>
      </c>
      <c r="HM16" s="12">
        <v>206.65932657332218</v>
      </c>
      <c r="HN16" s="12">
        <v>440.07217379554442</v>
      </c>
      <c r="HO16" s="12">
        <v>3442.3444969820603</v>
      </c>
      <c r="HP16" s="12">
        <v>1458.3551737042205</v>
      </c>
      <c r="HQ16" s="12">
        <v>5.2841851275717775E-5</v>
      </c>
      <c r="HR16" s="6"/>
      <c r="HS16" s="12"/>
      <c r="HT16" s="12"/>
      <c r="HV16" s="21" t="b">
        <f t="shared" si="15"/>
        <v>1</v>
      </c>
      <c r="HW16" s="21" t="b">
        <f t="shared" si="13"/>
        <v>1</v>
      </c>
      <c r="HX16" s="21" t="b">
        <f t="shared" si="13"/>
        <v>1</v>
      </c>
      <c r="HY16" s="21" t="b">
        <f t="shared" si="13"/>
        <v>1</v>
      </c>
      <c r="HZ16" s="21" t="b">
        <f t="shared" si="13"/>
        <v>1</v>
      </c>
      <c r="IA16" s="21" t="b">
        <f t="shared" si="13"/>
        <v>1</v>
      </c>
      <c r="IB16" s="21" t="b">
        <f t="shared" si="13"/>
        <v>1</v>
      </c>
      <c r="IC16" s="21" t="b">
        <f t="shared" si="13"/>
        <v>1</v>
      </c>
      <c r="ID16" s="21" t="b">
        <f t="shared" si="13"/>
        <v>1</v>
      </c>
      <c r="IE16" s="21" t="b">
        <f t="shared" si="13"/>
        <v>1</v>
      </c>
      <c r="IF16" s="21" t="b">
        <f t="shared" si="13"/>
        <v>1</v>
      </c>
      <c r="IG16" s="21" t="b">
        <f t="shared" si="13"/>
        <v>1</v>
      </c>
      <c r="IH16" s="21" t="b">
        <f t="shared" si="13"/>
        <v>1</v>
      </c>
      <c r="II16" s="21" t="b">
        <f t="shared" si="13"/>
        <v>1</v>
      </c>
      <c r="IJ16" s="21" t="b">
        <f t="shared" si="13"/>
        <v>1</v>
      </c>
      <c r="IK16" s="21" t="b">
        <f t="shared" si="13"/>
        <v>1</v>
      </c>
      <c r="IM16" s="21" t="b">
        <f t="shared" si="16"/>
        <v>1</v>
      </c>
      <c r="IN16" s="21" t="b">
        <f t="shared" si="14"/>
        <v>1</v>
      </c>
      <c r="IO16" s="21" t="b">
        <f t="shared" si="14"/>
        <v>1</v>
      </c>
      <c r="IP16" s="21" t="b">
        <f t="shared" si="14"/>
        <v>1</v>
      </c>
      <c r="IQ16" s="21" t="b">
        <f t="shared" si="14"/>
        <v>1</v>
      </c>
      <c r="IR16" s="21" t="b">
        <f t="shared" si="14"/>
        <v>1</v>
      </c>
      <c r="IS16" s="21" t="b">
        <f t="shared" si="14"/>
        <v>1</v>
      </c>
      <c r="IT16" s="21" t="b">
        <f t="shared" si="14"/>
        <v>1</v>
      </c>
      <c r="IU16" s="21" t="b">
        <f t="shared" si="14"/>
        <v>1</v>
      </c>
      <c r="IV16" s="21" t="b">
        <f t="shared" si="14"/>
        <v>1</v>
      </c>
      <c r="IW16" s="21" t="b">
        <f t="shared" si="14"/>
        <v>1</v>
      </c>
      <c r="IX16" s="21" t="b">
        <f t="shared" si="14"/>
        <v>1</v>
      </c>
      <c r="IY16" s="21" t="b">
        <f t="shared" si="14"/>
        <v>1</v>
      </c>
      <c r="IZ16" s="21" t="b">
        <f t="shared" si="14"/>
        <v>1</v>
      </c>
      <c r="JA16" s="21" t="b">
        <f t="shared" si="14"/>
        <v>1</v>
      </c>
      <c r="JB16" s="21" t="b">
        <f t="shared" si="14"/>
        <v>1</v>
      </c>
      <c r="JD16" s="21"/>
    </row>
    <row r="17" spans="1:272" x14ac:dyDescent="0.25">
      <c r="B17" s="24">
        <v>41790</v>
      </c>
      <c r="C17" s="25"/>
      <c r="D17" s="26"/>
      <c r="E17" s="10"/>
      <c r="F17" s="12">
        <v>1575.8888302154737</v>
      </c>
      <c r="G17" s="12">
        <v>0</v>
      </c>
      <c r="H17" s="12">
        <v>13.682499999999997</v>
      </c>
      <c r="I17" s="12">
        <v>67.876341666666676</v>
      </c>
      <c r="J17" s="12">
        <v>25.762599999999999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20"/>
      <c r="W17" s="12">
        <v>138.04599999999999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/>
      <c r="AN17" s="12">
        <v>175.55337419456313</v>
      </c>
      <c r="AO17" s="12">
        <v>895.0514121473002</v>
      </c>
      <c r="AP17" s="12">
        <v>193.44602750021014</v>
      </c>
      <c r="AQ17" s="12">
        <v>1088.3283279633197</v>
      </c>
      <c r="AR17" s="12">
        <v>1323.9378531096504</v>
      </c>
      <c r="AS17" s="12">
        <v>70.420954579579089</v>
      </c>
      <c r="AT17" s="12">
        <v>1.4770910353513889</v>
      </c>
      <c r="AU17" s="12">
        <v>1038.5038657130751</v>
      </c>
      <c r="AV17" s="12">
        <v>0</v>
      </c>
      <c r="AW17" s="12">
        <v>0</v>
      </c>
      <c r="AX17" s="12">
        <v>1569.5389335491764</v>
      </c>
      <c r="AY17" s="12">
        <v>0</v>
      </c>
      <c r="AZ17" s="12">
        <v>0</v>
      </c>
      <c r="BA17" s="12">
        <v>346.88646214359096</v>
      </c>
      <c r="BB17" s="12">
        <v>35.452745052111162</v>
      </c>
      <c r="BC17" s="12">
        <v>320.78457314339005</v>
      </c>
      <c r="BD17" s="12"/>
      <c r="BE17" s="12">
        <v>3698.328139316387</v>
      </c>
      <c r="BF17" s="12">
        <v>2550.9319469690777</v>
      </c>
      <c r="BG17" s="12">
        <v>1707.4877632336918</v>
      </c>
      <c r="BH17" s="12">
        <v>3187.7325580408515</v>
      </c>
      <c r="BI17" s="12">
        <v>4951.3589179321516</v>
      </c>
      <c r="BJ17" s="12">
        <v>8161.4003647009877</v>
      </c>
      <c r="BK17" s="12">
        <v>5081.4122739685599</v>
      </c>
      <c r="BL17" s="12">
        <v>2122.7975456571394</v>
      </c>
      <c r="BM17" s="12">
        <v>1603.662798688991</v>
      </c>
      <c r="BN17" s="12">
        <v>1151.0232001358836</v>
      </c>
      <c r="BO17" s="12">
        <v>977.6248067220414</v>
      </c>
      <c r="BP17" s="12">
        <v>808.86640299965916</v>
      </c>
      <c r="BQ17" s="12">
        <v>628.15781507462134</v>
      </c>
      <c r="BR17" s="12">
        <v>517.29420167311582</v>
      </c>
      <c r="BS17" s="12">
        <v>2580.6974994485317</v>
      </c>
      <c r="BT17" s="12">
        <v>99.354634425753019</v>
      </c>
      <c r="BU17" s="12"/>
      <c r="BV17" s="12">
        <v>9111.1883111638235</v>
      </c>
      <c r="BW17" s="12">
        <v>1695.3221469350017</v>
      </c>
      <c r="BX17" s="12">
        <v>950.20485094671903</v>
      </c>
      <c r="BY17" s="12">
        <v>2469.5231895289453</v>
      </c>
      <c r="BZ17" s="12">
        <v>2248.5122158846507</v>
      </c>
      <c r="CA17" s="12">
        <v>3038.1297129817467</v>
      </c>
      <c r="CB17" s="12">
        <v>2340.2235063016346</v>
      </c>
      <c r="CC17" s="12">
        <v>3309.8582809698141</v>
      </c>
      <c r="CD17" s="12">
        <v>1554.4262706617981</v>
      </c>
      <c r="CE17" s="12">
        <v>26.629052062305917</v>
      </c>
      <c r="CF17" s="12">
        <v>26.556295089458089</v>
      </c>
      <c r="CG17" s="12">
        <v>26.556295089458089</v>
      </c>
      <c r="CH17" s="12">
        <v>26.556295089458089</v>
      </c>
      <c r="CI17" s="12">
        <v>2771.6190875151915</v>
      </c>
      <c r="CJ17" s="12">
        <v>6.3864388050607053E-5</v>
      </c>
      <c r="CK17" s="12">
        <v>6.3881875561026154E-5</v>
      </c>
      <c r="CL17" s="12"/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/>
      <c r="DD17" s="12">
        <v>52.000516411838888</v>
      </c>
      <c r="DE17" s="12">
        <v>8.5691204743541149</v>
      </c>
      <c r="DF17" s="12">
        <v>11.365314084291757</v>
      </c>
      <c r="DG17" s="12">
        <v>16.79030513400744</v>
      </c>
      <c r="DH17" s="12">
        <v>3.5270232567625674</v>
      </c>
      <c r="DI17" s="12">
        <v>21.17685248629957</v>
      </c>
      <c r="DJ17" s="12">
        <v>14.710518805121433</v>
      </c>
      <c r="DK17" s="12">
        <v>29.722478674397159</v>
      </c>
      <c r="DL17" s="12">
        <v>3.1753268901246212</v>
      </c>
      <c r="DM17" s="12">
        <v>2.9785038572467341E-3</v>
      </c>
      <c r="DN17" s="12">
        <v>2.9703658685657323E-3</v>
      </c>
      <c r="DO17" s="12">
        <v>2.9703658685657323E-3</v>
      </c>
      <c r="DP17" s="12">
        <v>2.9703658685657323E-3</v>
      </c>
      <c r="DQ17" s="12">
        <v>18.506154381339311</v>
      </c>
      <c r="DR17" s="12">
        <v>3.2521889848013481E-15</v>
      </c>
      <c r="DS17" s="12">
        <v>3.2530795075244587E-15</v>
      </c>
      <c r="DT17" s="12"/>
      <c r="DU17" s="12">
        <v>1100.2667954197925</v>
      </c>
      <c r="DV17" s="12">
        <v>7.9832432363635011</v>
      </c>
      <c r="DW17" s="12">
        <v>4.7305343768353083</v>
      </c>
      <c r="DX17" s="12">
        <v>14.646528297005313</v>
      </c>
      <c r="DY17" s="12">
        <v>239.95294666931343</v>
      </c>
      <c r="DZ17" s="12">
        <v>72.383479837382708</v>
      </c>
      <c r="EA17" s="12">
        <v>84.934401164331433</v>
      </c>
      <c r="EB17" s="12">
        <v>99.526772318888064</v>
      </c>
      <c r="EC17" s="12">
        <v>116.82050169280647</v>
      </c>
      <c r="ED17" s="12">
        <v>0</v>
      </c>
      <c r="EE17" s="12">
        <v>0</v>
      </c>
      <c r="EF17" s="12">
        <v>0</v>
      </c>
      <c r="EG17" s="12">
        <v>0</v>
      </c>
      <c r="EH17" s="12">
        <v>811.89992752668695</v>
      </c>
      <c r="EI17" s="12">
        <v>1466.0123019653304</v>
      </c>
      <c r="EJ17" s="12">
        <v>0</v>
      </c>
      <c r="EK17" s="12"/>
      <c r="EL17" s="12">
        <v>35.986843611111112</v>
      </c>
      <c r="EM17" s="12">
        <v>23.731300347222223</v>
      </c>
      <c r="EN17" s="12">
        <v>37.046011597222225</v>
      </c>
      <c r="EO17" s="12">
        <v>164.86955679375001</v>
      </c>
      <c r="EP17" s="12">
        <v>126.70283533355035</v>
      </c>
      <c r="EQ17" s="12">
        <v>101.85587634999997</v>
      </c>
      <c r="ER17" s="12">
        <v>225.63580462499993</v>
      </c>
      <c r="ES17" s="12">
        <v>559.29905731388885</v>
      </c>
      <c r="ET17" s="12">
        <v>340.0626033333333</v>
      </c>
      <c r="EU17" s="12">
        <v>33.959825333333335</v>
      </c>
      <c r="EV17" s="12">
        <v>33.927373055555549</v>
      </c>
      <c r="EW17" s="12">
        <v>183.89716472222219</v>
      </c>
      <c r="EX17" s="12">
        <v>411.96799805555554</v>
      </c>
      <c r="EY17" s="12">
        <v>0.94836699999999996</v>
      </c>
      <c r="EZ17" s="12">
        <v>17.837327500000001</v>
      </c>
      <c r="FA17" s="12">
        <v>0</v>
      </c>
      <c r="FB17" s="12"/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/>
      <c r="FT17" s="12">
        <v>0</v>
      </c>
      <c r="FU17" s="12">
        <v>2.6404802666666671</v>
      </c>
      <c r="FV17" s="12">
        <v>3.1243096499999998</v>
      </c>
      <c r="FW17" s="12">
        <v>5.7938061833333325</v>
      </c>
      <c r="FX17" s="12">
        <v>11.427700170833333</v>
      </c>
      <c r="FY17" s="12">
        <v>23.049272425000002</v>
      </c>
      <c r="FZ17" s="12">
        <v>22.986296270833332</v>
      </c>
      <c r="GA17" s="12">
        <v>22.986296270833332</v>
      </c>
      <c r="GB17" s="12">
        <v>22.986296270833332</v>
      </c>
      <c r="GC17" s="12">
        <v>23.049272425000002</v>
      </c>
      <c r="GD17" s="12">
        <v>428.78925628750005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/>
      <c r="GK17" s="12">
        <v>5587.8163437264238</v>
      </c>
      <c r="GL17" s="12">
        <v>3445.9833591163779</v>
      </c>
      <c r="GM17" s="12">
        <v>1914.6162907339019</v>
      </c>
      <c r="GN17" s="12">
        <v>4343.9372276708382</v>
      </c>
      <c r="GO17" s="12">
        <v>6301.0593710418016</v>
      </c>
      <c r="GP17" s="12">
        <v>8231.821319280567</v>
      </c>
      <c r="GQ17" s="12">
        <v>5082.8893650039117</v>
      </c>
      <c r="GR17" s="12">
        <v>3161.3014113702147</v>
      </c>
      <c r="GS17" s="12">
        <v>1603.662798688991</v>
      </c>
      <c r="GT17" s="12">
        <v>1151.0232001358836</v>
      </c>
      <c r="GU17" s="12">
        <v>2547.1637402712176</v>
      </c>
      <c r="GV17" s="12">
        <v>808.86640299965916</v>
      </c>
      <c r="GW17" s="12">
        <v>628.15781507462134</v>
      </c>
      <c r="GX17" s="12">
        <v>864.18066381670678</v>
      </c>
      <c r="GY17" s="12">
        <v>2616.1502445006431</v>
      </c>
      <c r="GZ17" s="12">
        <v>420.13920756914308</v>
      </c>
      <c r="HB17" s="12">
        <v>10299.442466606568</v>
      </c>
      <c r="HC17" s="12">
        <v>1735.6058109929415</v>
      </c>
      <c r="HD17" s="12">
        <v>1003.3467110050683</v>
      </c>
      <c r="HE17" s="12">
        <v>2665.8295797537075</v>
      </c>
      <c r="HF17" s="12">
        <v>2618.6950211442772</v>
      </c>
      <c r="HG17" s="12">
        <v>3233.5459216554291</v>
      </c>
      <c r="HH17" s="12">
        <v>2665.5042308960874</v>
      </c>
      <c r="HI17" s="12">
        <v>3998.4065892769886</v>
      </c>
      <c r="HJ17" s="12">
        <v>2014.4847025780623</v>
      </c>
      <c r="HK17" s="12">
        <v>60.591855899496494</v>
      </c>
      <c r="HL17" s="12">
        <v>60.486638510882202</v>
      </c>
      <c r="HM17" s="12">
        <v>210.45643017754884</v>
      </c>
      <c r="HN17" s="12">
        <v>438.52726351088222</v>
      </c>
      <c r="HO17" s="12">
        <v>3602.9735364232179</v>
      </c>
      <c r="HP17" s="12">
        <v>1483.8496933297183</v>
      </c>
      <c r="HQ17" s="12">
        <v>6.3881875564279235E-5</v>
      </c>
      <c r="HR17" s="6"/>
      <c r="HS17" s="12"/>
      <c r="HT17" s="12"/>
      <c r="HV17" s="21" t="b">
        <f t="shared" si="15"/>
        <v>1</v>
      </c>
      <c r="HW17" s="21" t="b">
        <f t="shared" si="13"/>
        <v>1</v>
      </c>
      <c r="HX17" s="21" t="b">
        <f t="shared" si="13"/>
        <v>1</v>
      </c>
      <c r="HY17" s="21" t="b">
        <f t="shared" si="13"/>
        <v>1</v>
      </c>
      <c r="HZ17" s="21" t="b">
        <f t="shared" si="13"/>
        <v>1</v>
      </c>
      <c r="IA17" s="21" t="b">
        <f t="shared" si="13"/>
        <v>1</v>
      </c>
      <c r="IB17" s="21" t="b">
        <f t="shared" si="13"/>
        <v>1</v>
      </c>
      <c r="IC17" s="21" t="b">
        <f t="shared" si="13"/>
        <v>1</v>
      </c>
      <c r="ID17" s="21" t="b">
        <f t="shared" si="13"/>
        <v>1</v>
      </c>
      <c r="IE17" s="21" t="b">
        <f t="shared" si="13"/>
        <v>1</v>
      </c>
      <c r="IF17" s="21" t="b">
        <f t="shared" si="13"/>
        <v>1</v>
      </c>
      <c r="IG17" s="21" t="b">
        <f t="shared" si="13"/>
        <v>1</v>
      </c>
      <c r="IH17" s="21" t="b">
        <f t="shared" si="13"/>
        <v>1</v>
      </c>
      <c r="II17" s="21" t="b">
        <f t="shared" si="13"/>
        <v>1</v>
      </c>
      <c r="IJ17" s="21" t="b">
        <f t="shared" si="13"/>
        <v>1</v>
      </c>
      <c r="IK17" s="21" t="b">
        <f t="shared" si="13"/>
        <v>1</v>
      </c>
      <c r="IM17" s="21" t="b">
        <f t="shared" si="16"/>
        <v>1</v>
      </c>
      <c r="IN17" s="21" t="b">
        <f t="shared" si="14"/>
        <v>1</v>
      </c>
      <c r="IO17" s="21" t="b">
        <f t="shared" si="14"/>
        <v>1</v>
      </c>
      <c r="IP17" s="21" t="b">
        <f t="shared" si="14"/>
        <v>1</v>
      </c>
      <c r="IQ17" s="21" t="b">
        <f t="shared" si="14"/>
        <v>1</v>
      </c>
      <c r="IR17" s="21" t="b">
        <f t="shared" si="14"/>
        <v>1</v>
      </c>
      <c r="IS17" s="21" t="b">
        <f t="shared" si="14"/>
        <v>1</v>
      </c>
      <c r="IT17" s="21" t="b">
        <f t="shared" si="14"/>
        <v>1</v>
      </c>
      <c r="IU17" s="21" t="b">
        <f t="shared" si="14"/>
        <v>1</v>
      </c>
      <c r="IV17" s="21" t="b">
        <f t="shared" si="14"/>
        <v>1</v>
      </c>
      <c r="IW17" s="21" t="b">
        <f t="shared" si="14"/>
        <v>1</v>
      </c>
      <c r="IX17" s="21" t="b">
        <f t="shared" si="14"/>
        <v>1</v>
      </c>
      <c r="IY17" s="21" t="b">
        <f t="shared" si="14"/>
        <v>1</v>
      </c>
      <c r="IZ17" s="21" t="b">
        <f t="shared" si="14"/>
        <v>1</v>
      </c>
      <c r="JA17" s="21" t="b">
        <f t="shared" si="14"/>
        <v>1</v>
      </c>
      <c r="JB17" s="21" t="b">
        <f t="shared" si="14"/>
        <v>1</v>
      </c>
      <c r="JD17" s="21"/>
    </row>
    <row r="18" spans="1:272" s="3" customFormat="1" x14ac:dyDescent="0.25">
      <c r="B18" s="24">
        <v>41820</v>
      </c>
      <c r="C18" s="25"/>
      <c r="D18" s="26"/>
      <c r="E18" s="27"/>
      <c r="F18" s="12">
        <v>1791.077383181407</v>
      </c>
      <c r="G18" s="12">
        <v>13.682499999999997</v>
      </c>
      <c r="H18" s="12">
        <v>43.429091666666672</v>
      </c>
      <c r="I18" s="12">
        <v>50.209850000000003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20"/>
      <c r="W18" s="12">
        <v>215.02388888888891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/>
      <c r="AN18" s="12">
        <v>901.60051189730029</v>
      </c>
      <c r="AO18" s="12">
        <v>193.44602750021014</v>
      </c>
      <c r="AP18" s="12">
        <v>64.550442172281535</v>
      </c>
      <c r="AQ18" s="12">
        <v>1087.0587764347772</v>
      </c>
      <c r="AR18" s="12">
        <v>1430.9824185277992</v>
      </c>
      <c r="AS18" s="12">
        <v>155.1060027097403</v>
      </c>
      <c r="AT18" s="12">
        <v>1.466581743318069</v>
      </c>
      <c r="AU18" s="12">
        <v>1279.6325880959171</v>
      </c>
      <c r="AV18" s="12">
        <v>0</v>
      </c>
      <c r="AW18" s="12">
        <v>0</v>
      </c>
      <c r="AX18" s="12">
        <v>2196.7590546051802</v>
      </c>
      <c r="AY18" s="12">
        <v>0</v>
      </c>
      <c r="AZ18" s="12">
        <v>0</v>
      </c>
      <c r="BA18" s="12">
        <v>358.61295348131569</v>
      </c>
      <c r="BB18" s="12">
        <v>0</v>
      </c>
      <c r="BC18" s="12">
        <v>314.50828762068846</v>
      </c>
      <c r="BD18" s="12"/>
      <c r="BE18" s="12">
        <v>4118.1441022893159</v>
      </c>
      <c r="BF18" s="12">
        <v>2046.3427789493489</v>
      </c>
      <c r="BG18" s="12">
        <v>1545.5537178869038</v>
      </c>
      <c r="BH18" s="12">
        <v>3141.1832233480163</v>
      </c>
      <c r="BI18" s="12">
        <v>5133.3264528053242</v>
      </c>
      <c r="BJ18" s="12">
        <v>8348.9877982408179</v>
      </c>
      <c r="BK18" s="12">
        <v>5249.0372709875164</v>
      </c>
      <c r="BL18" s="12">
        <v>2192.6359930887365</v>
      </c>
      <c r="BM18" s="12">
        <v>1678.4217386812859</v>
      </c>
      <c r="BN18" s="12">
        <v>1190.7690669416966</v>
      </c>
      <c r="BO18" s="12">
        <v>1058.2749913764442</v>
      </c>
      <c r="BP18" s="12">
        <v>787.73320178892959</v>
      </c>
      <c r="BQ18" s="12">
        <v>656.04159027822459</v>
      </c>
      <c r="BR18" s="12">
        <v>532.93914469515494</v>
      </c>
      <c r="BS18" s="12">
        <v>2624.7424747357272</v>
      </c>
      <c r="BT18" s="12">
        <v>95.385191152976049</v>
      </c>
      <c r="BU18" s="12"/>
      <c r="BV18" s="12">
        <v>10143.333934075712</v>
      </c>
      <c r="BW18" s="12">
        <v>1964.3340296399363</v>
      </c>
      <c r="BX18" s="12">
        <v>1021.925439060769</v>
      </c>
      <c r="BY18" s="12">
        <v>2384.8286563938618</v>
      </c>
      <c r="BZ18" s="12">
        <v>2245.3930055316896</v>
      </c>
      <c r="CA18" s="12">
        <v>3113.1965296112849</v>
      </c>
      <c r="CB18" s="12">
        <v>2400.5986354024899</v>
      </c>
      <c r="CC18" s="12">
        <v>3407.6904226248193</v>
      </c>
      <c r="CD18" s="12">
        <v>1584.0438619017084</v>
      </c>
      <c r="CE18" s="12">
        <v>26.827655826310185</v>
      </c>
      <c r="CF18" s="12">
        <v>26.754356220227365</v>
      </c>
      <c r="CG18" s="12">
        <v>26.754356220227365</v>
      </c>
      <c r="CH18" s="12">
        <v>26.754356220227365</v>
      </c>
      <c r="CI18" s="12">
        <v>2799.8793074182763</v>
      </c>
      <c r="CJ18" s="12">
        <v>6.2755846580145983E-5</v>
      </c>
      <c r="CK18" s="12">
        <v>6.2773030546898483E-5</v>
      </c>
      <c r="CL18" s="12"/>
      <c r="CM18" s="12">
        <v>478.05288055555559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/>
      <c r="DD18" s="12">
        <v>68.058776897261083</v>
      </c>
      <c r="DE18" s="12">
        <v>19.624269489449269</v>
      </c>
      <c r="DF18" s="12">
        <v>11.11171003969379</v>
      </c>
      <c r="DG18" s="12">
        <v>16.315375461492906</v>
      </c>
      <c r="DH18" s="12">
        <v>4.8973747519385045</v>
      </c>
      <c r="DI18" s="12">
        <v>28.407929524075964</v>
      </c>
      <c r="DJ18" s="12">
        <v>19.832491306236292</v>
      </c>
      <c r="DK18" s="12">
        <v>39.028522529640206</v>
      </c>
      <c r="DL18" s="12">
        <v>4.8669450578651245</v>
      </c>
      <c r="DM18" s="12">
        <v>4.6692242324560514E-3</v>
      </c>
      <c r="DN18" s="12">
        <v>4.6564667891979741E-3</v>
      </c>
      <c r="DO18" s="12">
        <v>4.6564667891979741E-3</v>
      </c>
      <c r="DP18" s="12">
        <v>4.6564667891979741E-3</v>
      </c>
      <c r="DQ18" s="12">
        <v>23.041758937746629</v>
      </c>
      <c r="DR18" s="12">
        <v>5.0963801331995261E-15</v>
      </c>
      <c r="DS18" s="12">
        <v>5.0977756370695148E-15</v>
      </c>
      <c r="DT18" s="12"/>
      <c r="DU18" s="12">
        <v>1122.6816746601487</v>
      </c>
      <c r="DV18" s="12">
        <v>4.7707680761868021</v>
      </c>
      <c r="DW18" s="12">
        <v>4.8307255561379989</v>
      </c>
      <c r="DX18" s="12">
        <v>223.4735551909217</v>
      </c>
      <c r="DY18" s="12">
        <v>32.150398833198999</v>
      </c>
      <c r="DZ18" s="12">
        <v>73.995684857664244</v>
      </c>
      <c r="EA18" s="12">
        <v>86.832309801158729</v>
      </c>
      <c r="EB18" s="12">
        <v>101.82624004853588</v>
      </c>
      <c r="EC18" s="12">
        <v>119.10261838087766</v>
      </c>
      <c r="ED18" s="12">
        <v>0</v>
      </c>
      <c r="EE18" s="12">
        <v>0</v>
      </c>
      <c r="EF18" s="12">
        <v>0</v>
      </c>
      <c r="EG18" s="12">
        <v>0</v>
      </c>
      <c r="EH18" s="12">
        <v>823.63036295903328</v>
      </c>
      <c r="EI18" s="12">
        <v>1484.9749394495821</v>
      </c>
      <c r="EJ18" s="12">
        <v>0</v>
      </c>
      <c r="EK18" s="12"/>
      <c r="EL18" s="12">
        <v>23.731300347222223</v>
      </c>
      <c r="EM18" s="12">
        <v>37.046011597222225</v>
      </c>
      <c r="EN18" s="12">
        <v>25.147155438194442</v>
      </c>
      <c r="EO18" s="12">
        <v>202.65304135555559</v>
      </c>
      <c r="EP18" s="12">
        <v>72.133132833550349</v>
      </c>
      <c r="EQ18" s="12">
        <v>101.88608468333331</v>
      </c>
      <c r="ER18" s="12">
        <v>225.60559629166661</v>
      </c>
      <c r="ES18" s="12">
        <v>709.29905731388885</v>
      </c>
      <c r="ET18" s="12">
        <v>187.19958249999999</v>
      </c>
      <c r="EU18" s="12">
        <v>33.990033666666662</v>
      </c>
      <c r="EV18" s="12">
        <v>33.897164722222222</v>
      </c>
      <c r="EW18" s="12">
        <v>178.39924805555557</v>
      </c>
      <c r="EX18" s="12">
        <v>411.96799805555554</v>
      </c>
      <c r="EY18" s="12">
        <v>0.94836699999999996</v>
      </c>
      <c r="EZ18" s="12">
        <v>17.837327500000001</v>
      </c>
      <c r="FA18" s="12">
        <v>0</v>
      </c>
      <c r="FB18" s="12"/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/>
      <c r="FT18" s="12">
        <v>2.6404802666666667</v>
      </c>
      <c r="FU18" s="12">
        <v>3.1243096499999994</v>
      </c>
      <c r="FV18" s="12">
        <v>0</v>
      </c>
      <c r="FW18" s="12">
        <v>5.7938061833333325</v>
      </c>
      <c r="FX18" s="12">
        <v>11.427700170833333</v>
      </c>
      <c r="FY18" s="12">
        <v>23.049272425000002</v>
      </c>
      <c r="FZ18" s="12">
        <v>22.986296270833332</v>
      </c>
      <c r="GA18" s="12">
        <v>22.986296270833332</v>
      </c>
      <c r="GB18" s="12">
        <v>22.986296270833332</v>
      </c>
      <c r="GC18" s="12">
        <v>23.049272425000002</v>
      </c>
      <c r="GD18" s="12">
        <v>428.78925628750005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/>
      <c r="GK18" s="12">
        <v>7025.8458862569123</v>
      </c>
      <c r="GL18" s="12">
        <v>2253.4713064495591</v>
      </c>
      <c r="GM18" s="12">
        <v>1653.5332517258521</v>
      </c>
      <c r="GN18" s="12">
        <v>4278.4518497827939</v>
      </c>
      <c r="GO18" s="12">
        <v>6564.3088713331235</v>
      </c>
      <c r="GP18" s="12">
        <v>8504.0938009505589</v>
      </c>
      <c r="GQ18" s="12">
        <v>5250.5038527308343</v>
      </c>
      <c r="GR18" s="12">
        <v>3472.2685811846536</v>
      </c>
      <c r="GS18" s="12">
        <v>1678.4217386812859</v>
      </c>
      <c r="GT18" s="12">
        <v>1190.7690669416966</v>
      </c>
      <c r="GU18" s="12">
        <v>3255.0340459816243</v>
      </c>
      <c r="GV18" s="12">
        <v>787.73320178892959</v>
      </c>
      <c r="GW18" s="12">
        <v>656.04159027822459</v>
      </c>
      <c r="GX18" s="12">
        <v>891.55209817647062</v>
      </c>
      <c r="GY18" s="12">
        <v>2624.7424747357272</v>
      </c>
      <c r="GZ18" s="12">
        <v>409.89347877366453</v>
      </c>
      <c r="HA18"/>
      <c r="HB18" s="12">
        <v>11835.858566535901</v>
      </c>
      <c r="HC18" s="12">
        <v>2025.7750788027947</v>
      </c>
      <c r="HD18" s="12">
        <v>1063.0150300947953</v>
      </c>
      <c r="HE18" s="12">
        <v>2827.2706284018318</v>
      </c>
      <c r="HF18" s="12">
        <v>2354.5739119503774</v>
      </c>
      <c r="HG18" s="12">
        <v>3317.4862286763582</v>
      </c>
      <c r="HH18" s="12">
        <v>2732.8690328015514</v>
      </c>
      <c r="HI18" s="12">
        <v>4257.8442425168842</v>
      </c>
      <c r="HJ18" s="12">
        <v>1895.2130078404512</v>
      </c>
      <c r="HK18" s="12">
        <v>60.822358717209298</v>
      </c>
      <c r="HL18" s="12">
        <v>60.656177409238779</v>
      </c>
      <c r="HM18" s="12">
        <v>205.15826074257214</v>
      </c>
      <c r="HN18" s="12">
        <v>438.72701074257208</v>
      </c>
      <c r="HO18" s="12">
        <v>3647.4997963150563</v>
      </c>
      <c r="HP18" s="12">
        <v>1502.8123297054285</v>
      </c>
      <c r="HQ18" s="12">
        <v>6.2773030551996253E-5</v>
      </c>
      <c r="HR18" s="6"/>
      <c r="HS18" s="12"/>
      <c r="HT18" s="12"/>
      <c r="HU18"/>
      <c r="HV18" s="21" t="b">
        <f t="shared" ref="HV18" si="17">+GK18=F18+W18+AN18+BE18</f>
        <v>1</v>
      </c>
      <c r="HW18" s="21" t="b">
        <f t="shared" ref="HW18" si="18">+GL18=G18+X18+AO18+BF18</f>
        <v>1</v>
      </c>
      <c r="HX18" s="21" t="b">
        <f t="shared" ref="HX18" si="19">+GM18=H18+Y18+AP18+BG18</f>
        <v>1</v>
      </c>
      <c r="HY18" s="21" t="b">
        <f t="shared" ref="HY18" si="20">+GN18=I18+Z18+AQ18+BH18</f>
        <v>1</v>
      </c>
      <c r="HZ18" s="21" t="b">
        <f t="shared" ref="HZ18" si="21">+GO18=J18+AA18+AR18+BI18</f>
        <v>1</v>
      </c>
      <c r="IA18" s="21" t="b">
        <f t="shared" ref="IA18" si="22">+GP18=K18+AB18+AS18+BJ18</f>
        <v>1</v>
      </c>
      <c r="IB18" s="21" t="b">
        <f t="shared" ref="IB18" si="23">+GQ18=L18+AC18+AT18+BK18</f>
        <v>1</v>
      </c>
      <c r="IC18" s="21" t="b">
        <f t="shared" ref="IC18" si="24">+GR18=M18+AD18+AU18+BL18</f>
        <v>1</v>
      </c>
      <c r="ID18" s="21" t="b">
        <f t="shared" ref="ID18" si="25">+GS18=N18+AE18+AV18+BM18</f>
        <v>1</v>
      </c>
      <c r="IE18" s="21" t="b">
        <f t="shared" ref="IE18" si="26">+GT18=O18+AF18+AW18+BN18</f>
        <v>1</v>
      </c>
      <c r="IF18" s="21" t="b">
        <f t="shared" ref="IF18" si="27">+GU18=P18+AG18+AX18+BO18</f>
        <v>1</v>
      </c>
      <c r="IG18" s="21" t="b">
        <f t="shared" ref="IG18" si="28">+GV18=Q18+AH18+AY18+BP18</f>
        <v>1</v>
      </c>
      <c r="IH18" s="21" t="b">
        <f t="shared" ref="IH18" si="29">+GW18=R18+AI18+AZ18+BQ18</f>
        <v>1</v>
      </c>
      <c r="II18" s="21" t="b">
        <f t="shared" ref="II18" si="30">+GX18=S18+AJ18+BA18+BR18</f>
        <v>1</v>
      </c>
      <c r="IJ18" s="21" t="b">
        <f t="shared" ref="IJ18" si="31">+GY18=T18+AK18+BB18+BS18</f>
        <v>1</v>
      </c>
      <c r="IK18" s="21" t="b">
        <f t="shared" ref="IK18" si="32">+GZ18=U18+AL18+BC18+BT18</f>
        <v>1</v>
      </c>
      <c r="IL18"/>
      <c r="IM18" s="21" t="b">
        <f t="shared" ref="IM18" si="33">+HB18=BV18+CM18+DD18+DU18+EL18</f>
        <v>1</v>
      </c>
      <c r="IN18" s="21" t="b">
        <f t="shared" ref="IN18" si="34">+HC18=BW18+CN18+DE18+DV18+EM18</f>
        <v>1</v>
      </c>
      <c r="IO18" s="21" t="b">
        <f t="shared" ref="IO18" si="35">+HD18=BX18+CO18+DF18+DW18+EN18</f>
        <v>1</v>
      </c>
      <c r="IP18" s="21" t="b">
        <f t="shared" ref="IP18" si="36">+HE18=BY18+CP18+DG18+DX18+EO18</f>
        <v>1</v>
      </c>
      <c r="IQ18" s="21" t="b">
        <f t="shared" ref="IQ18" si="37">+HF18=BZ18+CQ18+DH18+DY18+EP18</f>
        <v>1</v>
      </c>
      <c r="IR18" s="21" t="b">
        <f t="shared" ref="IR18" si="38">+HG18=CA18+CR18+DI18+DZ18+EQ18</f>
        <v>1</v>
      </c>
      <c r="IS18" s="21" t="b">
        <f t="shared" ref="IS18" si="39">+HH18=CB18+CS18+DJ18+EA18+ER18</f>
        <v>1</v>
      </c>
      <c r="IT18" s="21" t="b">
        <f t="shared" ref="IT18" si="40">+HI18=CC18+CT18+DK18+EB18+ES18</f>
        <v>1</v>
      </c>
      <c r="IU18" s="21" t="b">
        <f t="shared" ref="IU18" si="41">+HJ18=CD18+CU18+DL18+EC18+ET18</f>
        <v>1</v>
      </c>
      <c r="IV18" s="21" t="b">
        <f t="shared" ref="IV18" si="42">+HK18=CE18+CV18+DM18+ED18+EU18</f>
        <v>1</v>
      </c>
      <c r="IW18" s="21" t="b">
        <f t="shared" ref="IW18" si="43">+HL18=CF18+CW18+DN18+EE18+EV18</f>
        <v>1</v>
      </c>
      <c r="IX18" s="21" t="b">
        <f t="shared" ref="IX18" si="44">+HM18=CG18+CX18+DO18+EF18+EW18</f>
        <v>1</v>
      </c>
      <c r="IY18" s="21" t="b">
        <f t="shared" ref="IY18" si="45">+HN18=CH18+CY18+DP18+EG18+EX18</f>
        <v>1</v>
      </c>
      <c r="IZ18" s="21" t="b">
        <f t="shared" ref="IZ18" si="46">+HO18=CI18+CZ18+DQ18+EH18+EY18</f>
        <v>1</v>
      </c>
      <c r="JA18" s="21" t="b">
        <f t="shared" ref="JA18" si="47">+HP18=CJ18+DA18+DR18+EI18+EZ18</f>
        <v>1</v>
      </c>
      <c r="JB18" s="21" t="b">
        <f t="shared" ref="JB18" si="48">+HQ18=CK18+DB18+DS18+EJ18+FA18</f>
        <v>1</v>
      </c>
      <c r="JC18"/>
      <c r="JD18" s="21"/>
      <c r="JE18"/>
      <c r="JF18"/>
      <c r="JG18"/>
      <c r="JH18"/>
      <c r="JI18"/>
      <c r="JJ18"/>
      <c r="JK18"/>
      <c r="JL18"/>
    </row>
    <row r="19" spans="1:272" s="3" customFormat="1" x14ac:dyDescent="0.25">
      <c r="B19" s="24">
        <v>41851</v>
      </c>
      <c r="C19" s="25"/>
      <c r="D19" s="26"/>
      <c r="E19" s="27"/>
      <c r="F19" s="12">
        <v>1783.8301350178031</v>
      </c>
      <c r="G19" s="12">
        <v>43.429091666666672</v>
      </c>
      <c r="H19" s="12">
        <v>24.44725</v>
      </c>
      <c r="I19" s="12">
        <v>25.762599999999999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20"/>
      <c r="W19" s="12">
        <v>270.02787499999999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/>
      <c r="AN19" s="12">
        <v>199.99512725021015</v>
      </c>
      <c r="AO19" s="12">
        <v>64.550442172281535</v>
      </c>
      <c r="AP19" s="12">
        <v>523.46083860999795</v>
      </c>
      <c r="AQ19" s="12">
        <v>605.2541349943059</v>
      </c>
      <c r="AR19" s="12">
        <v>1709.8448196148345</v>
      </c>
      <c r="AS19" s="12">
        <v>205.3770431516144</v>
      </c>
      <c r="AT19" s="12">
        <v>1.3880485609972224</v>
      </c>
      <c r="AU19" s="12">
        <v>1142.0778226852494</v>
      </c>
      <c r="AV19" s="12">
        <v>0</v>
      </c>
      <c r="AW19" s="12">
        <v>0</v>
      </c>
      <c r="AX19" s="12">
        <v>1741.9538800399275</v>
      </c>
      <c r="AY19" s="12">
        <v>0</v>
      </c>
      <c r="AZ19" s="12">
        <v>0</v>
      </c>
      <c r="BA19" s="12">
        <v>74.832280517178859</v>
      </c>
      <c r="BB19" s="12">
        <v>0</v>
      </c>
      <c r="BC19" s="12">
        <v>312.98233726023528</v>
      </c>
      <c r="BD19" s="12"/>
      <c r="BE19" s="12">
        <v>3765.101291858462</v>
      </c>
      <c r="BF19" s="12">
        <v>1920.9419871138118</v>
      </c>
      <c r="BG19" s="12">
        <v>1586.5446340697351</v>
      </c>
      <c r="BH19" s="12">
        <v>3685.2752929947824</v>
      </c>
      <c r="BI19" s="12">
        <v>5065.2355901522042</v>
      </c>
      <c r="BJ19" s="12">
        <v>8305.8527269228562</v>
      </c>
      <c r="BK19" s="12">
        <v>5172.1841696717684</v>
      </c>
      <c r="BL19" s="12">
        <v>2236.1770621073424</v>
      </c>
      <c r="BM19" s="12">
        <v>1671.5537391847772</v>
      </c>
      <c r="BN19" s="12">
        <v>1200.147565013179</v>
      </c>
      <c r="BO19" s="12">
        <v>1139.6713618399799</v>
      </c>
      <c r="BP19" s="12">
        <v>792.72946060936226</v>
      </c>
      <c r="BQ19" s="12">
        <v>660.54499425984454</v>
      </c>
      <c r="BR19" s="12">
        <v>535.32810939816102</v>
      </c>
      <c r="BS19" s="12">
        <v>2629.4956260681897</v>
      </c>
      <c r="BT19" s="12">
        <v>92.247018841504811</v>
      </c>
      <c r="BU19" s="12"/>
      <c r="BV19" s="12">
        <v>10430.665857480613</v>
      </c>
      <c r="BW19" s="12">
        <v>1834.2652513622943</v>
      </c>
      <c r="BX19" s="12">
        <v>1595.5286995226825</v>
      </c>
      <c r="BY19" s="12">
        <v>1870.0311609987657</v>
      </c>
      <c r="BZ19" s="12">
        <v>2251.4237273250487</v>
      </c>
      <c r="CA19" s="12">
        <v>3247.2474320528072</v>
      </c>
      <c r="CB19" s="12">
        <v>2527.7305485247066</v>
      </c>
      <c r="CC19" s="12">
        <v>3569.6607429463766</v>
      </c>
      <c r="CD19" s="12">
        <v>1684.4695117632768</v>
      </c>
      <c r="CE19" s="12">
        <v>25.891004683994154</v>
      </c>
      <c r="CF19" s="12">
        <v>25.820264234037886</v>
      </c>
      <c r="CG19" s="12">
        <v>25.820264234037886</v>
      </c>
      <c r="CH19" s="12">
        <v>25.820264234037886</v>
      </c>
      <c r="CI19" s="12">
        <v>2830.9007404210179</v>
      </c>
      <c r="CJ19" s="12">
        <v>6.0482430828866826E-5</v>
      </c>
      <c r="CK19" s="12">
        <v>6.0498992283091587E-5</v>
      </c>
      <c r="CL19" s="12"/>
      <c r="CM19" s="12">
        <v>30.003048611111112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/>
      <c r="DD19" s="12">
        <v>119.12675110820534</v>
      </c>
      <c r="DE19" s="12">
        <v>24.114678265333275</v>
      </c>
      <c r="DF19" s="12">
        <v>2.9806979031278966</v>
      </c>
      <c r="DG19" s="12">
        <v>19.879036218169524</v>
      </c>
      <c r="DH19" s="12">
        <v>4.9539849849737925</v>
      </c>
      <c r="DI19" s="12">
        <v>39.805011331218999</v>
      </c>
      <c r="DJ19" s="12">
        <v>26.386796870137143</v>
      </c>
      <c r="DK19" s="12">
        <v>56.480037032218284</v>
      </c>
      <c r="DL19" s="12">
        <v>2.9687298878663957</v>
      </c>
      <c r="DM19" s="12">
        <v>2.836247858315944E-3</v>
      </c>
      <c r="DN19" s="12">
        <v>2.8284985472276486E-3</v>
      </c>
      <c r="DO19" s="12">
        <v>2.8284985472276486E-3</v>
      </c>
      <c r="DP19" s="12">
        <v>2.8284985472276486E-3</v>
      </c>
      <c r="DQ19" s="12">
        <v>34.661239605249186</v>
      </c>
      <c r="DR19" s="12">
        <v>3.0964654572309279E-15</v>
      </c>
      <c r="DS19" s="12">
        <v>3.0973133393386029E-15</v>
      </c>
      <c r="DT19" s="12"/>
      <c r="DU19" s="12">
        <v>1823.0914456212522</v>
      </c>
      <c r="DV19" s="12">
        <v>4.8936783182900081</v>
      </c>
      <c r="DW19" s="12">
        <v>4.9577212240773036</v>
      </c>
      <c r="DX19" s="12">
        <v>223.85388689378715</v>
      </c>
      <c r="DY19" s="12">
        <v>32.953007909240711</v>
      </c>
      <c r="DZ19" s="12">
        <v>124.20220968623934</v>
      </c>
      <c r="EA19" s="12">
        <v>89.018833885911349</v>
      </c>
      <c r="EB19" s="12">
        <v>104.58668119245881</v>
      </c>
      <c r="EC19" s="12">
        <v>121.75901770638045</v>
      </c>
      <c r="ED19" s="12">
        <v>0</v>
      </c>
      <c r="EE19" s="12">
        <v>0</v>
      </c>
      <c r="EF19" s="12">
        <v>0</v>
      </c>
      <c r="EG19" s="12">
        <v>0</v>
      </c>
      <c r="EH19" s="12">
        <v>838.54729863824036</v>
      </c>
      <c r="EI19" s="12">
        <v>1510.2941145265861</v>
      </c>
      <c r="EJ19" s="12">
        <v>0</v>
      </c>
      <c r="EK19" s="12"/>
      <c r="EL19" s="12">
        <v>39.974717986111116</v>
      </c>
      <c r="EM19" s="12">
        <v>126.04889682708335</v>
      </c>
      <c r="EN19" s="12">
        <v>124.73909002222221</v>
      </c>
      <c r="EO19" s="12">
        <v>179.44702688888893</v>
      </c>
      <c r="EP19" s="12">
        <v>72.12132727799478</v>
      </c>
      <c r="EQ19" s="12">
        <v>101.88608468333331</v>
      </c>
      <c r="ER19" s="12">
        <v>225.60559629166661</v>
      </c>
      <c r="ES19" s="12">
        <v>759.29905731388874</v>
      </c>
      <c r="ET19" s="12">
        <v>136.12527694444444</v>
      </c>
      <c r="EU19" s="12">
        <v>33.990033666666662</v>
      </c>
      <c r="EV19" s="12">
        <v>33.897164722222222</v>
      </c>
      <c r="EW19" s="12">
        <v>178.39924805555557</v>
      </c>
      <c r="EX19" s="12">
        <v>411.96799805555554</v>
      </c>
      <c r="EY19" s="12">
        <v>0.94836699999999996</v>
      </c>
      <c r="EZ19" s="12">
        <v>17.837327500000001</v>
      </c>
      <c r="FA19" s="12">
        <v>0</v>
      </c>
      <c r="FB19" s="12"/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/>
      <c r="FT19" s="12">
        <v>3.1243096499999998</v>
      </c>
      <c r="FU19" s="12">
        <v>0</v>
      </c>
      <c r="FV19" s="12">
        <v>2.6694965333333336</v>
      </c>
      <c r="FW19" s="12">
        <v>5.7938061833333325</v>
      </c>
      <c r="FX19" s="12">
        <v>11.398683904166667</v>
      </c>
      <c r="FY19" s="12">
        <v>23.049272425000002</v>
      </c>
      <c r="FZ19" s="12">
        <v>22.986296270833332</v>
      </c>
      <c r="GA19" s="12">
        <v>22.986296270833332</v>
      </c>
      <c r="GB19" s="12">
        <v>22.986296270833332</v>
      </c>
      <c r="GC19" s="12">
        <v>23.049272425000002</v>
      </c>
      <c r="GD19" s="12">
        <v>426.14877602083345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/>
      <c r="GK19" s="12">
        <v>6018.9544291264756</v>
      </c>
      <c r="GL19" s="12">
        <v>2028.9215209527601</v>
      </c>
      <c r="GM19" s="12">
        <v>2134.4527226797331</v>
      </c>
      <c r="GN19" s="12">
        <v>4316.2920279890886</v>
      </c>
      <c r="GO19" s="12">
        <v>6775.0804097670389</v>
      </c>
      <c r="GP19" s="12">
        <v>8511.2297700744712</v>
      </c>
      <c r="GQ19" s="12">
        <v>5173.5722182327654</v>
      </c>
      <c r="GR19" s="12">
        <v>3378.2548847925918</v>
      </c>
      <c r="GS19" s="12">
        <v>1671.5537391847772</v>
      </c>
      <c r="GT19" s="12">
        <v>1200.147565013179</v>
      </c>
      <c r="GU19" s="12">
        <v>2881.6252418799077</v>
      </c>
      <c r="GV19" s="12">
        <v>792.72946060936226</v>
      </c>
      <c r="GW19" s="12">
        <v>660.54499425984454</v>
      </c>
      <c r="GX19" s="12">
        <v>610.16038991533992</v>
      </c>
      <c r="GY19" s="12">
        <v>2629.4956260681897</v>
      </c>
      <c r="GZ19" s="12">
        <v>405.22935610174011</v>
      </c>
      <c r="HA19"/>
      <c r="HB19" s="12">
        <v>12442.861820807295</v>
      </c>
      <c r="HC19" s="12">
        <v>1989.3225047730009</v>
      </c>
      <c r="HD19" s="12">
        <v>1728.2062086721098</v>
      </c>
      <c r="HE19" s="12">
        <v>2293.2111109996113</v>
      </c>
      <c r="HF19" s="12">
        <v>2361.4520474972578</v>
      </c>
      <c r="HG19" s="12">
        <v>3513.1407377535984</v>
      </c>
      <c r="HH19" s="12">
        <v>2868.7417755724214</v>
      </c>
      <c r="HI19" s="12">
        <v>4490.0265184849422</v>
      </c>
      <c r="HJ19" s="12">
        <v>1945.3225363019683</v>
      </c>
      <c r="HK19" s="12">
        <v>59.883874598519128</v>
      </c>
      <c r="HL19" s="12">
        <v>59.720257454807339</v>
      </c>
      <c r="HM19" s="12">
        <v>204.22234078814068</v>
      </c>
      <c r="HN19" s="12">
        <v>437.79109078814065</v>
      </c>
      <c r="HO19" s="12">
        <v>3705.0576456645076</v>
      </c>
      <c r="HP19" s="12">
        <v>1528.1315025090169</v>
      </c>
      <c r="HQ19" s="12">
        <v>6.0498992286188902E-5</v>
      </c>
      <c r="HR19" s="6"/>
      <c r="HS19" s="12"/>
      <c r="HT19" s="12"/>
      <c r="HU19"/>
      <c r="HV19" s="21" t="b">
        <f t="shared" ref="HV19" si="49">+GK19=F19+W19+AN19+BE19</f>
        <v>1</v>
      </c>
      <c r="HW19" s="21" t="b">
        <f t="shared" ref="HW19" si="50">+GL19=G19+X19+AO19+BF19</f>
        <v>1</v>
      </c>
      <c r="HX19" s="21" t="b">
        <f t="shared" ref="HX19" si="51">+GM19=H19+Y19+AP19+BG19</f>
        <v>1</v>
      </c>
      <c r="HY19" s="21" t="b">
        <f t="shared" ref="HY19" si="52">+GN19=I19+Z19+AQ19+BH19</f>
        <v>1</v>
      </c>
      <c r="HZ19" s="21" t="b">
        <f t="shared" ref="HZ19" si="53">+GO19=J19+AA19+AR19+BI19</f>
        <v>1</v>
      </c>
      <c r="IA19" s="21" t="b">
        <f t="shared" ref="IA19" si="54">+GP19=K19+AB19+AS19+BJ19</f>
        <v>1</v>
      </c>
      <c r="IB19" s="21" t="b">
        <f t="shared" ref="IB19" si="55">+GQ19=L19+AC19+AT19+BK19</f>
        <v>1</v>
      </c>
      <c r="IC19" s="21" t="b">
        <f t="shared" ref="IC19" si="56">+GR19=M19+AD19+AU19+BL19</f>
        <v>1</v>
      </c>
      <c r="ID19" s="21" t="b">
        <f t="shared" ref="ID19" si="57">+GS19=N19+AE19+AV19+BM19</f>
        <v>1</v>
      </c>
      <c r="IE19" s="21" t="b">
        <f t="shared" ref="IE19" si="58">+GT19=O19+AF19+AW19+BN19</f>
        <v>1</v>
      </c>
      <c r="IF19" s="21" t="b">
        <f t="shared" ref="IF19" si="59">+GU19=P19+AG19+AX19+BO19</f>
        <v>1</v>
      </c>
      <c r="IG19" s="21" t="b">
        <f t="shared" ref="IG19" si="60">+GV19=Q19+AH19+AY19+BP19</f>
        <v>1</v>
      </c>
      <c r="IH19" s="21" t="b">
        <f t="shared" ref="IH19" si="61">+GW19=R19+AI19+AZ19+BQ19</f>
        <v>1</v>
      </c>
      <c r="II19" s="21" t="b">
        <f t="shared" ref="II19" si="62">+GX19=S19+AJ19+BA19+BR19</f>
        <v>1</v>
      </c>
      <c r="IJ19" s="21" t="b">
        <f t="shared" ref="IJ19" si="63">+GY19=T19+AK19+BB19+BS19</f>
        <v>1</v>
      </c>
      <c r="IK19" s="21" t="b">
        <f t="shared" ref="IK19" si="64">+GZ19=U19+AL19+BC19+BT19</f>
        <v>1</v>
      </c>
      <c r="IL19"/>
      <c r="IM19" s="21" t="b">
        <f t="shared" ref="IM19" si="65">+HB19=BV19+CM19+DD19+DU19+EL19</f>
        <v>1</v>
      </c>
      <c r="IN19" s="21" t="b">
        <f t="shared" ref="IN19" si="66">+HC19=BW19+CN19+DE19+DV19+EM19</f>
        <v>1</v>
      </c>
      <c r="IO19" s="21" t="b">
        <f t="shared" ref="IO19" si="67">+HD19=BX19+CO19+DF19+DW19+EN19</f>
        <v>1</v>
      </c>
      <c r="IP19" s="21" t="b">
        <f t="shared" ref="IP19" si="68">+HE19=BY19+CP19+DG19+DX19+EO19</f>
        <v>1</v>
      </c>
      <c r="IQ19" s="21" t="b">
        <f t="shared" ref="IQ19" si="69">+HF19=BZ19+CQ19+DH19+DY19+EP19</f>
        <v>1</v>
      </c>
      <c r="IR19" s="21" t="b">
        <f t="shared" ref="IR19" si="70">+HG19=CA19+CR19+DI19+DZ19+EQ19</f>
        <v>1</v>
      </c>
      <c r="IS19" s="21" t="b">
        <f t="shared" ref="IS19" si="71">+HH19=CB19+CS19+DJ19+EA19+ER19</f>
        <v>1</v>
      </c>
      <c r="IT19" s="21" t="b">
        <f t="shared" ref="IT19" si="72">+HI19=CC19+CT19+DK19+EB19+ES19</f>
        <v>1</v>
      </c>
      <c r="IU19" s="21" t="b">
        <f t="shared" ref="IU19" si="73">+HJ19=CD19+CU19+DL19+EC19+ET19</f>
        <v>1</v>
      </c>
      <c r="IV19" s="21" t="b">
        <f t="shared" ref="IV19" si="74">+HK19=CE19+CV19+DM19+ED19+EU19</f>
        <v>1</v>
      </c>
      <c r="IW19" s="21" t="b">
        <f t="shared" ref="IW19" si="75">+HL19=CF19+CW19+DN19+EE19+EV19</f>
        <v>1</v>
      </c>
      <c r="IX19" s="21" t="b">
        <f t="shared" ref="IX19" si="76">+HM19=CG19+CX19+DO19+EF19+EW19</f>
        <v>1</v>
      </c>
      <c r="IY19" s="21" t="b">
        <f t="shared" ref="IY19" si="77">+HN19=CH19+CY19+DP19+EG19+EX19</f>
        <v>1</v>
      </c>
      <c r="IZ19" s="21" t="b">
        <f t="shared" ref="IZ19" si="78">+HO19=CI19+CZ19+DQ19+EH19+EY19</f>
        <v>1</v>
      </c>
      <c r="JA19" s="21" t="b">
        <f t="shared" ref="JA19" si="79">+HP19=CJ19+DA19+DR19+EI19+EZ19</f>
        <v>1</v>
      </c>
      <c r="JB19" s="21" t="b">
        <f t="shared" ref="JB19" si="80">+HQ19=CK19+DB19+DS19+EJ19+FA19</f>
        <v>1</v>
      </c>
      <c r="JC19"/>
      <c r="JD19" s="21"/>
      <c r="JE19"/>
      <c r="JF19"/>
      <c r="JG19"/>
      <c r="JH19"/>
      <c r="JI19"/>
      <c r="JJ19"/>
      <c r="JK19"/>
      <c r="JL19"/>
    </row>
    <row r="20" spans="1:272" x14ac:dyDescent="0.25">
      <c r="A20" t="s">
        <v>92</v>
      </c>
      <c r="B20" s="2">
        <v>41912</v>
      </c>
      <c r="C20" s="22"/>
      <c r="D20" s="18"/>
      <c r="E20" s="2"/>
      <c r="F20" s="26">
        <v>1254.0385106067006</v>
      </c>
      <c r="G20" s="26">
        <v>0</v>
      </c>
      <c r="H20" s="26">
        <v>25.762599999999996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0"/>
      <c r="W20" s="26">
        <v>229.62303087999996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10"/>
      <c r="AN20" s="26">
        <v>608.4232167179108</v>
      </c>
      <c r="AO20" s="26">
        <v>527.50795125670459</v>
      </c>
      <c r="AP20" s="26">
        <v>16.610080185245565</v>
      </c>
      <c r="AQ20" s="26">
        <v>43.575371886979752</v>
      </c>
      <c r="AR20" s="26">
        <v>2834.1295387143582</v>
      </c>
      <c r="AS20" s="26">
        <v>212.61238715674961</v>
      </c>
      <c r="AT20" s="26">
        <v>662.47291290467706</v>
      </c>
      <c r="AU20" s="26">
        <v>129.61610065722817</v>
      </c>
      <c r="AV20" s="26">
        <v>7.9906991107284533</v>
      </c>
      <c r="AW20" s="26">
        <v>1748.5259660105769</v>
      </c>
      <c r="AX20" s="26">
        <v>7.8488123022093319</v>
      </c>
      <c r="AY20" s="26">
        <v>6.4454276129849655</v>
      </c>
      <c r="AZ20" s="26">
        <v>82.986275428568391</v>
      </c>
      <c r="BA20" s="26">
        <v>6.2981981561695504</v>
      </c>
      <c r="BB20" s="26">
        <v>17.813537316740412</v>
      </c>
      <c r="BC20" s="26">
        <v>318.95269822749509</v>
      </c>
      <c r="BD20" s="10"/>
      <c r="BE20" s="26">
        <v>3587.0243012050851</v>
      </c>
      <c r="BF20" s="26">
        <v>1360.6039082624814</v>
      </c>
      <c r="BG20" s="26">
        <v>1044.6997690818787</v>
      </c>
      <c r="BH20" s="26">
        <v>4253.6206317507585</v>
      </c>
      <c r="BI20" s="26">
        <v>5529.6830649524754</v>
      </c>
      <c r="BJ20" s="26">
        <v>8658.6747808203254</v>
      </c>
      <c r="BK20" s="26">
        <v>5385.8373127095747</v>
      </c>
      <c r="BL20" s="26">
        <v>2297.0689061022499</v>
      </c>
      <c r="BM20" s="26">
        <v>1759.9088746432226</v>
      </c>
      <c r="BN20" s="26">
        <v>1282.115255775065</v>
      </c>
      <c r="BO20" s="26">
        <v>1188.0813491311446</v>
      </c>
      <c r="BP20" s="26">
        <v>1050.9374381040689</v>
      </c>
      <c r="BQ20" s="26">
        <v>683.79613090993792</v>
      </c>
      <c r="BR20" s="26">
        <v>553.13372605325435</v>
      </c>
      <c r="BS20" s="26">
        <v>2712.9225729706991</v>
      </c>
      <c r="BT20" s="26">
        <v>85.79719182306718</v>
      </c>
      <c r="BU20" s="10"/>
      <c r="BV20" s="26">
        <v>11208.650261149382</v>
      </c>
      <c r="BW20" s="26">
        <v>875.26840778876283</v>
      </c>
      <c r="BX20" s="26">
        <v>1841.9873271651336</v>
      </c>
      <c r="BY20" s="26">
        <v>2084.0834561518445</v>
      </c>
      <c r="BZ20" s="26">
        <v>1266.2181360536042</v>
      </c>
      <c r="CA20" s="26">
        <v>3222.1806481491017</v>
      </c>
      <c r="CB20" s="26">
        <v>2521.3492166839578</v>
      </c>
      <c r="CC20" s="26">
        <v>3593.6554161086642</v>
      </c>
      <c r="CD20" s="26">
        <v>1612.2051786566367</v>
      </c>
      <c r="CE20" s="26">
        <v>24.109120528597842</v>
      </c>
      <c r="CF20" s="26">
        <v>24.043248614585281</v>
      </c>
      <c r="CG20" s="26">
        <v>24.043248614585281</v>
      </c>
      <c r="CH20" s="26">
        <v>24.043248614585281</v>
      </c>
      <c r="CI20" s="26">
        <v>2775.9801041738992</v>
      </c>
      <c r="CJ20" s="26">
        <v>5.5467385051028669E-5</v>
      </c>
      <c r="CK20" s="26">
        <v>5.5482573272565102E-5</v>
      </c>
      <c r="CL20" s="10"/>
      <c r="CM20" s="26">
        <v>123.06382752499999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0</v>
      </c>
      <c r="DB20" s="26">
        <v>0</v>
      </c>
      <c r="DC20" s="10"/>
      <c r="DD20" s="26">
        <v>123.27987562672116</v>
      </c>
      <c r="DE20" s="26">
        <v>40.106626229285474</v>
      </c>
      <c r="DF20" s="26">
        <v>20.227117255014733</v>
      </c>
      <c r="DG20" s="26">
        <v>17.841095685761381</v>
      </c>
      <c r="DH20" s="26">
        <v>17.302322879833426</v>
      </c>
      <c r="DI20" s="26">
        <v>69.539085905101231</v>
      </c>
      <c r="DJ20" s="26">
        <v>49.05098957568579</v>
      </c>
      <c r="DK20" s="26">
        <v>92.271679405532524</v>
      </c>
      <c r="DL20" s="26">
        <v>13.040319531097648</v>
      </c>
      <c r="DM20" s="26">
        <v>15.369031046036897</v>
      </c>
      <c r="DN20" s="26">
        <v>9.050455287345549E-3</v>
      </c>
      <c r="DO20" s="26">
        <v>9.050455287345549E-3</v>
      </c>
      <c r="DP20" s="26">
        <v>9.050455287345549E-3</v>
      </c>
      <c r="DQ20" s="26">
        <v>38.362392443481511</v>
      </c>
      <c r="DR20" s="26">
        <v>9.9078792870325109E-15</v>
      </c>
      <c r="DS20" s="26">
        <v>9.910592287932575E-15</v>
      </c>
      <c r="DT20" s="10"/>
      <c r="DU20" s="26">
        <v>10.215633918115989</v>
      </c>
      <c r="DV20" s="26">
        <v>0.46543766632413214</v>
      </c>
      <c r="DW20" s="26">
        <v>208.8883567085106</v>
      </c>
      <c r="DX20" s="26">
        <v>16.634864411612249</v>
      </c>
      <c r="DY20" s="26">
        <v>35.571588768043505</v>
      </c>
      <c r="DZ20" s="26">
        <v>129.43597776975153</v>
      </c>
      <c r="EA20" s="26">
        <v>94.233501423222535</v>
      </c>
      <c r="EB20" s="26">
        <v>109.60155937599262</v>
      </c>
      <c r="EC20" s="26">
        <v>127.30728587475537</v>
      </c>
      <c r="ED20" s="26">
        <v>2.6329404615221006</v>
      </c>
      <c r="EE20" s="26">
        <v>2.6257466351244991</v>
      </c>
      <c r="EF20" s="26">
        <v>2.6257466351244991</v>
      </c>
      <c r="EG20" s="26">
        <v>2.6257466351244991</v>
      </c>
      <c r="EH20" s="26">
        <v>858.7139096162291</v>
      </c>
      <c r="EI20" s="26">
        <v>1542.0563813634674</v>
      </c>
      <c r="EJ20" s="26">
        <v>0</v>
      </c>
      <c r="EK20" s="10"/>
      <c r="EL20" s="26">
        <v>24.292125577777774</v>
      </c>
      <c r="EM20" s="26">
        <v>115.43027577777778</v>
      </c>
      <c r="EN20" s="26">
        <v>62.930640000000004</v>
      </c>
      <c r="EO20" s="26">
        <v>27.661907133550347</v>
      </c>
      <c r="EP20" s="26">
        <v>50.636664311111097</v>
      </c>
      <c r="EQ20" s="26">
        <v>101.88608468333331</v>
      </c>
      <c r="ER20" s="26">
        <v>225.60559629166664</v>
      </c>
      <c r="ES20" s="26">
        <v>856.43603648055557</v>
      </c>
      <c r="ET20" s="26">
        <v>33.897164722222215</v>
      </c>
      <c r="EU20" s="26">
        <v>33.990033666666662</v>
      </c>
      <c r="EV20" s="26">
        <v>33.897164722222215</v>
      </c>
      <c r="EW20" s="26">
        <v>178.39924805555557</v>
      </c>
      <c r="EX20" s="26">
        <v>411.9679980555556</v>
      </c>
      <c r="EY20" s="26">
        <v>0.94836699999999985</v>
      </c>
      <c r="EZ20" s="26">
        <v>17.837327500000001</v>
      </c>
      <c r="FA20" s="26">
        <v>0</v>
      </c>
      <c r="FB20" s="10"/>
      <c r="FC20" s="26">
        <v>0</v>
      </c>
      <c r="FD20" s="26">
        <v>0</v>
      </c>
      <c r="FE20" s="26">
        <v>0</v>
      </c>
      <c r="FF20" s="26">
        <v>0</v>
      </c>
      <c r="FG20" s="26">
        <v>0</v>
      </c>
      <c r="FH20" s="26">
        <v>0</v>
      </c>
      <c r="FI20" s="26">
        <v>0</v>
      </c>
      <c r="FJ20" s="26">
        <v>0</v>
      </c>
      <c r="FK20" s="26">
        <v>0</v>
      </c>
      <c r="FL20" s="26">
        <v>0</v>
      </c>
      <c r="FM20" s="26">
        <v>0</v>
      </c>
      <c r="FN20" s="26">
        <v>0</v>
      </c>
      <c r="FO20" s="26">
        <v>0</v>
      </c>
      <c r="FP20" s="26">
        <v>0</v>
      </c>
      <c r="FQ20" s="26">
        <v>0</v>
      </c>
      <c r="FR20" s="26">
        <v>0</v>
      </c>
      <c r="FS20" s="10"/>
      <c r="FT20" s="26">
        <v>2.6694965333333336</v>
      </c>
      <c r="FU20" s="26">
        <v>3.1243096499999989</v>
      </c>
      <c r="FV20" s="26">
        <v>0</v>
      </c>
      <c r="FW20" s="26">
        <v>5.7938061833333325</v>
      </c>
      <c r="FX20" s="26">
        <v>11.398683904166667</v>
      </c>
      <c r="FY20" s="26">
        <v>23.049272424999998</v>
      </c>
      <c r="FZ20" s="26">
        <v>22.986296270833328</v>
      </c>
      <c r="GA20" s="26">
        <v>22.986296270833328</v>
      </c>
      <c r="GB20" s="26">
        <v>22.986296270833328</v>
      </c>
      <c r="GC20" s="26">
        <v>446.07373879583326</v>
      </c>
      <c r="GD20" s="26">
        <v>0</v>
      </c>
      <c r="GE20" s="26">
        <v>0</v>
      </c>
      <c r="GF20" s="26">
        <v>0</v>
      </c>
      <c r="GG20" s="26">
        <v>0</v>
      </c>
      <c r="GH20" s="26">
        <v>0</v>
      </c>
      <c r="GI20" s="26">
        <v>0</v>
      </c>
      <c r="GJ20" s="10"/>
      <c r="GK20" s="26">
        <v>5679.1090594096968</v>
      </c>
      <c r="GL20" s="26">
        <v>1888.1118595191861</v>
      </c>
      <c r="GM20" s="26">
        <v>1087.0724492671243</v>
      </c>
      <c r="GN20" s="26">
        <v>4297.1960036377386</v>
      </c>
      <c r="GO20" s="26">
        <v>8363.8126036668327</v>
      </c>
      <c r="GP20" s="26">
        <v>8871.2871679770742</v>
      </c>
      <c r="GQ20" s="26">
        <v>6048.310225614252</v>
      </c>
      <c r="GR20" s="26">
        <v>2426.6850067594783</v>
      </c>
      <c r="GS20" s="26">
        <v>1767.899573753951</v>
      </c>
      <c r="GT20" s="26">
        <v>3030.6412217856418</v>
      </c>
      <c r="GU20" s="26">
        <v>1195.930161433354</v>
      </c>
      <c r="GV20" s="26">
        <v>1057.3828657170538</v>
      </c>
      <c r="GW20" s="26">
        <v>766.78240633850635</v>
      </c>
      <c r="GX20" s="26">
        <v>559.43192420942387</v>
      </c>
      <c r="GY20" s="26">
        <v>2730.7361102874397</v>
      </c>
      <c r="GZ20" s="26">
        <v>404.74989005056227</v>
      </c>
      <c r="HA20" s="2"/>
      <c r="HB20" s="26">
        <v>11489.501723796999</v>
      </c>
      <c r="HC20" s="26">
        <v>1031.2707474621502</v>
      </c>
      <c r="HD20" s="26">
        <v>2134.033441128659</v>
      </c>
      <c r="HE20" s="26">
        <v>2146.2213233827688</v>
      </c>
      <c r="HF20" s="26">
        <v>1369.7287120125923</v>
      </c>
      <c r="HG20" s="26">
        <v>3523.0417965072875</v>
      </c>
      <c r="HH20" s="26">
        <v>2890.239303974533</v>
      </c>
      <c r="HI20" s="26">
        <v>4651.9646913707447</v>
      </c>
      <c r="HJ20" s="26">
        <v>1786.4499487847118</v>
      </c>
      <c r="HK20" s="26">
        <v>76.101125702823509</v>
      </c>
      <c r="HL20" s="26">
        <v>60.575210427219339</v>
      </c>
      <c r="HM20" s="26">
        <v>205.07729376055269</v>
      </c>
      <c r="HN20" s="26">
        <v>438.64604376055274</v>
      </c>
      <c r="HO20" s="26">
        <v>3674.0047732336097</v>
      </c>
      <c r="HP20" s="26">
        <v>1559.8937643308523</v>
      </c>
      <c r="HQ20" s="26">
        <v>5.5482573282475692E-5</v>
      </c>
      <c r="HR20" s="2"/>
      <c r="HS20" s="2"/>
      <c r="HT20" s="2"/>
      <c r="HV20" s="21" t="b">
        <f t="shared" ref="HV20:HV33" si="81">+GK20=F20+W20+AN20+BE20</f>
        <v>1</v>
      </c>
      <c r="HW20" s="21" t="b">
        <f t="shared" ref="HW20:HW33" si="82">+GL20=G20+X20+AO20+BF20</f>
        <v>1</v>
      </c>
      <c r="HX20" s="21" t="b">
        <f t="shared" ref="HX20:HX33" si="83">+GM20=H20+Y20+AP20+BG20</f>
        <v>1</v>
      </c>
      <c r="HY20" s="21" t="b">
        <f t="shared" ref="HY20:HY33" si="84">+GN20=I20+Z20+AQ20+BH20</f>
        <v>1</v>
      </c>
      <c r="HZ20" s="21" t="b">
        <f t="shared" ref="HZ20:HZ33" si="85">+GO20=J20+AA20+AR20+BI20</f>
        <v>1</v>
      </c>
      <c r="IA20" s="21" t="b">
        <f t="shared" ref="IA20:IA33" si="86">+GP20=K20+AB20+AS20+BJ20</f>
        <v>1</v>
      </c>
      <c r="IB20" s="21" t="b">
        <f t="shared" ref="IB20:IB33" si="87">+GQ20=L20+AC20+AT20+BK20</f>
        <v>1</v>
      </c>
      <c r="IC20" s="21" t="b">
        <f t="shared" ref="IC20:IC33" si="88">+GR20=M20+AD20+AU20+BL20</f>
        <v>1</v>
      </c>
      <c r="ID20" s="21" t="b">
        <f t="shared" ref="ID20:ID33" si="89">+GS20=N20+AE20+AV20+BM20</f>
        <v>1</v>
      </c>
      <c r="IE20" s="21" t="b">
        <f t="shared" ref="IE20:IE33" si="90">+GT20=O20+AF20+AW20+BN20</f>
        <v>1</v>
      </c>
      <c r="IF20" s="21" t="b">
        <f t="shared" ref="IF20:IF33" si="91">+GU20=P20+AG20+AX20+BO20</f>
        <v>1</v>
      </c>
      <c r="IG20" s="21" t="b">
        <f t="shared" ref="IG20:IG33" si="92">+GV20=Q20+AH20+AY20+BP20</f>
        <v>1</v>
      </c>
      <c r="IH20" s="21" t="b">
        <f t="shared" ref="IH20:IH33" si="93">+GW20=R20+AI20+AZ20+BQ20</f>
        <v>1</v>
      </c>
      <c r="II20" s="21" t="b">
        <f t="shared" ref="II20:II33" si="94">+GX20=S20+AJ20+BA20+BR20</f>
        <v>1</v>
      </c>
      <c r="IJ20" s="21" t="b">
        <f t="shared" ref="IJ20:IJ33" si="95">+GY20=T20+AK20+BB20+BS20</f>
        <v>1</v>
      </c>
      <c r="IK20" s="21" t="b">
        <f t="shared" ref="IK20:IK33" si="96">+GZ20=U20+AL20+BC20+BT20</f>
        <v>1</v>
      </c>
      <c r="IM20" s="21" t="b">
        <f t="shared" ref="IM20:IM33" si="97">+HB20=BV20+CM20+DD20+DU20+EL20</f>
        <v>1</v>
      </c>
      <c r="IN20" s="21" t="b">
        <f t="shared" ref="IN20:IN33" si="98">+HC20=BW20+CN20+DE20+DV20+EM20</f>
        <v>1</v>
      </c>
      <c r="IO20" s="21" t="b">
        <f t="shared" ref="IO20:IO33" si="99">+HD20=BX20+CO20+DF20+DW20+EN20</f>
        <v>1</v>
      </c>
      <c r="IP20" s="21" t="b">
        <f t="shared" ref="IP20:IP33" si="100">+HE20=BY20+CP20+DG20+DX20+EO20</f>
        <v>1</v>
      </c>
      <c r="IQ20" s="21" t="b">
        <f t="shared" ref="IQ20:IQ33" si="101">+HF20=BZ20+CQ20+DH20+DY20+EP20</f>
        <v>1</v>
      </c>
      <c r="IR20" s="21" t="b">
        <f t="shared" ref="IR20:IR33" si="102">+HG20=CA20+CR20+DI20+DZ20+EQ20</f>
        <v>1</v>
      </c>
      <c r="IS20" s="21" t="b">
        <f t="shared" ref="IS20:IS33" si="103">+HH20=CB20+CS20+DJ20+EA20+ER20</f>
        <v>1</v>
      </c>
      <c r="IT20" s="21" t="b">
        <f t="shared" ref="IT20:IT33" si="104">+HI20=CC20+CT20+DK20+EB20+ES20</f>
        <v>1</v>
      </c>
      <c r="IU20" s="21" t="b">
        <f t="shared" ref="IU20:IU33" si="105">+HJ20=CD20+CU20+DL20+EC20+ET20</f>
        <v>1</v>
      </c>
      <c r="IV20" s="21" t="b">
        <f t="shared" ref="IV20:IV33" si="106">+HK20=CE20+CV20+DM20+ED20+EU20</f>
        <v>1</v>
      </c>
      <c r="IW20" s="21" t="b">
        <f t="shared" ref="IW20:IW33" si="107">+HL20=CF20+CW20+DN20+EE20+EV20</f>
        <v>1</v>
      </c>
      <c r="IX20" s="21" t="b">
        <f t="shared" ref="IX20:IX33" si="108">+HM20=CG20+CX20+DO20+EF20+EW20</f>
        <v>1</v>
      </c>
      <c r="IY20" s="21" t="b">
        <f t="shared" ref="IY20:IY33" si="109">+HN20=CH20+CY20+DP20+EG20+EX20</f>
        <v>1</v>
      </c>
      <c r="IZ20" s="21" t="b">
        <f t="shared" ref="IZ20:IZ33" si="110">+HO20=CI20+CZ20+DQ20+EH20+EY20</f>
        <v>1</v>
      </c>
      <c r="JA20" s="21" t="b">
        <f t="shared" ref="JA20:JA33" si="111">+HP20=CJ20+DA20+DR20+EI20+EZ20</f>
        <v>1</v>
      </c>
      <c r="JB20" s="21" t="b">
        <f t="shared" ref="JB20:JB33" si="112">+HQ20=CK20+DB20+DS20+EJ20+FA20</f>
        <v>1</v>
      </c>
    </row>
    <row r="21" spans="1:272" x14ac:dyDescent="0.25">
      <c r="A21" t="s">
        <v>64</v>
      </c>
      <c r="B21" s="2">
        <v>42004</v>
      </c>
      <c r="C21" s="22"/>
      <c r="D21" s="18"/>
      <c r="E21" s="2"/>
      <c r="F21" s="26">
        <v>1355.0182662595475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0"/>
      <c r="W21" s="26">
        <v>229.64624427166669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10"/>
      <c r="AN21" s="26">
        <v>391.82031638137192</v>
      </c>
      <c r="AO21" s="26">
        <v>69.981221559810578</v>
      </c>
      <c r="AP21" s="26">
        <v>-8.476621511152052</v>
      </c>
      <c r="AQ21" s="26">
        <v>1589.8251905290135</v>
      </c>
      <c r="AR21" s="26">
        <v>1447.559393268793</v>
      </c>
      <c r="AS21" s="26">
        <v>157.20209712323623</v>
      </c>
      <c r="AT21" s="26">
        <v>763.74367945361791</v>
      </c>
      <c r="AU21" s="26">
        <v>127.43702811666631</v>
      </c>
      <c r="AV21" s="26">
        <v>6.2393302931457848</v>
      </c>
      <c r="AW21" s="26">
        <v>1747.0483004472733</v>
      </c>
      <c r="AX21" s="26">
        <v>6.1340471647889103</v>
      </c>
      <c r="AY21" s="26">
        <v>4.9959121570848417</v>
      </c>
      <c r="AZ21" s="26">
        <v>81.221528771549544</v>
      </c>
      <c r="BA21" s="26">
        <v>4.8798286864941902</v>
      </c>
      <c r="BB21" s="26">
        <v>14.014280822601597</v>
      </c>
      <c r="BC21" s="26">
        <v>317.59917281841274</v>
      </c>
      <c r="BD21" s="10"/>
      <c r="BE21" s="26">
        <v>4514.1656954630089</v>
      </c>
      <c r="BF21" s="26">
        <v>1551.5357103124147</v>
      </c>
      <c r="BG21" s="26">
        <v>1370.2442743068557</v>
      </c>
      <c r="BH21" s="26">
        <v>2687.2560306474229</v>
      </c>
      <c r="BI21" s="26">
        <v>5808.9573427245668</v>
      </c>
      <c r="BJ21" s="26">
        <v>9273.1998695469138</v>
      </c>
      <c r="BK21" s="26">
        <v>5639.1410587022947</v>
      </c>
      <c r="BL21" s="26">
        <v>2405.34297603093</v>
      </c>
      <c r="BM21" s="26">
        <v>1780.7360799443495</v>
      </c>
      <c r="BN21" s="26">
        <v>1351.0932236600597</v>
      </c>
      <c r="BO21" s="26">
        <v>1214.1408302182376</v>
      </c>
      <c r="BP21" s="26">
        <v>1312.0673718806115</v>
      </c>
      <c r="BQ21" s="26">
        <v>693.9664496415586</v>
      </c>
      <c r="BR21" s="26">
        <v>566.87165624709769</v>
      </c>
      <c r="BS21" s="26">
        <v>2713.7892271927012</v>
      </c>
      <c r="BT21" s="26">
        <v>76.53551921352134</v>
      </c>
      <c r="BU21" s="10"/>
      <c r="BV21" s="26">
        <v>12283.106683541671</v>
      </c>
      <c r="BW21" s="26">
        <v>1369.688259875438</v>
      </c>
      <c r="BX21" s="26">
        <v>1880.5280193648625</v>
      </c>
      <c r="BY21" s="26">
        <v>1424.1147265379968</v>
      </c>
      <c r="BZ21" s="26">
        <v>1046.4034357646644</v>
      </c>
      <c r="CA21" s="26">
        <v>3305.5993177426949</v>
      </c>
      <c r="CB21" s="26">
        <v>2644.4498931549674</v>
      </c>
      <c r="CC21" s="26">
        <v>3715.9166582935936</v>
      </c>
      <c r="CD21" s="26">
        <v>1641.5127422832843</v>
      </c>
      <c r="CE21" s="26">
        <v>24.845840520708173</v>
      </c>
      <c r="CF21" s="26">
        <v>24.777955710542305</v>
      </c>
      <c r="CG21" s="26">
        <v>24.777955710542305</v>
      </c>
      <c r="CH21" s="26">
        <v>24.777955710542305</v>
      </c>
      <c r="CI21" s="26">
        <v>2875.4649736434294</v>
      </c>
      <c r="CJ21" s="26">
        <v>5.7187017880016552E-5</v>
      </c>
      <c r="CK21" s="26">
        <v>5.7202676975821598E-5</v>
      </c>
      <c r="CL21" s="10"/>
      <c r="CM21" s="26">
        <v>-2.9943500000000007E-3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0</v>
      </c>
      <c r="DB21" s="26">
        <v>0</v>
      </c>
      <c r="DC21" s="10"/>
      <c r="DD21" s="26">
        <v>124.88532536242592</v>
      </c>
      <c r="DE21" s="26">
        <v>43.953236878959196</v>
      </c>
      <c r="DF21" s="26">
        <v>2.605948084219702</v>
      </c>
      <c r="DG21" s="26">
        <v>4.5874744977933251</v>
      </c>
      <c r="DH21" s="26">
        <v>20.84598128877467</v>
      </c>
      <c r="DI21" s="26">
        <v>80.811484336672166</v>
      </c>
      <c r="DJ21" s="26">
        <v>56.884983892252734</v>
      </c>
      <c r="DK21" s="26">
        <v>106.38294318975913</v>
      </c>
      <c r="DL21" s="26">
        <v>14.738425032569495</v>
      </c>
      <c r="DM21" s="26">
        <v>23.575719248607829</v>
      </c>
      <c r="DN21" s="26">
        <v>9.050455287345549E-3</v>
      </c>
      <c r="DO21" s="26">
        <v>9.050455287345549E-3</v>
      </c>
      <c r="DP21" s="26">
        <v>9.050455287345549E-3</v>
      </c>
      <c r="DQ21" s="26">
        <v>38.360111232833738</v>
      </c>
      <c r="DR21" s="26">
        <v>9.9078792870325109E-15</v>
      </c>
      <c r="DS21" s="26">
        <v>9.910592287932575E-15</v>
      </c>
      <c r="DT21" s="10"/>
      <c r="DU21" s="26">
        <v>16.672480109651815</v>
      </c>
      <c r="DV21" s="26">
        <v>1.4062352712378487</v>
      </c>
      <c r="DW21" s="26">
        <v>1.3153259352512126</v>
      </c>
      <c r="DX21" s="26">
        <v>3.2465245570049484</v>
      </c>
      <c r="DY21" s="26">
        <v>41.140312510565934</v>
      </c>
      <c r="DZ21" s="26">
        <v>140.75296147219547</v>
      </c>
      <c r="EA21" s="26">
        <v>105.66280372881236</v>
      </c>
      <c r="EB21" s="26">
        <v>121.19174247888829</v>
      </c>
      <c r="EC21" s="26">
        <v>139.07961468751876</v>
      </c>
      <c r="ED21" s="26">
        <v>7.9258930203134232</v>
      </c>
      <c r="EE21" s="26">
        <v>7.9042375749027309</v>
      </c>
      <c r="EF21" s="26">
        <v>7.9042375749027309</v>
      </c>
      <c r="EG21" s="26">
        <v>7.9042375749027309</v>
      </c>
      <c r="EH21" s="26">
        <v>896.7086442045952</v>
      </c>
      <c r="EI21" s="26">
        <v>1598.3804311085098</v>
      </c>
      <c r="EJ21" s="26">
        <v>0</v>
      </c>
      <c r="EK21" s="10"/>
      <c r="EL21" s="26">
        <v>1.086111111111111</v>
      </c>
      <c r="EM21" s="26">
        <v>2.2281122222222214</v>
      </c>
      <c r="EN21" s="26">
        <v>24.347683800217013</v>
      </c>
      <c r="EO21" s="26">
        <v>44.471225699999991</v>
      </c>
      <c r="EP21" s="26">
        <v>51.021477119444427</v>
      </c>
      <c r="EQ21" s="26">
        <v>229.88608468333334</v>
      </c>
      <c r="ER21" s="26">
        <v>576.81715184722225</v>
      </c>
      <c r="ES21" s="26">
        <v>349.39556430555552</v>
      </c>
      <c r="ET21" s="26">
        <v>33.897164722222215</v>
      </c>
      <c r="EU21" s="26">
        <v>33.990033666666662</v>
      </c>
      <c r="EV21" s="26">
        <v>183.89716472222221</v>
      </c>
      <c r="EW21" s="26">
        <v>422.87112305555559</v>
      </c>
      <c r="EX21" s="26">
        <v>0.94577583333333326</v>
      </c>
      <c r="EY21" s="26">
        <v>0.94836699999999985</v>
      </c>
      <c r="EZ21" s="26">
        <v>17.360552833333333</v>
      </c>
      <c r="FA21" s="26">
        <v>0</v>
      </c>
      <c r="FB21" s="10"/>
      <c r="FC21" s="26">
        <v>0</v>
      </c>
      <c r="FD21" s="26">
        <v>0</v>
      </c>
      <c r="FE21" s="26">
        <v>0</v>
      </c>
      <c r="FF21" s="26">
        <v>0</v>
      </c>
      <c r="FG21" s="26">
        <v>0</v>
      </c>
      <c r="FH21" s="26">
        <v>0</v>
      </c>
      <c r="FI21" s="26">
        <v>0</v>
      </c>
      <c r="FJ21" s="26">
        <v>0</v>
      </c>
      <c r="FK21" s="26">
        <v>0</v>
      </c>
      <c r="FL21" s="26">
        <v>0</v>
      </c>
      <c r="FM21" s="26">
        <v>0</v>
      </c>
      <c r="FN21" s="26">
        <v>0</v>
      </c>
      <c r="FO21" s="26">
        <v>0</v>
      </c>
      <c r="FP21" s="26">
        <v>0</v>
      </c>
      <c r="FQ21" s="26">
        <v>0</v>
      </c>
      <c r="FR21" s="26">
        <v>0</v>
      </c>
      <c r="FS21" s="10"/>
      <c r="FT21" s="26">
        <v>2.6694965333333331</v>
      </c>
      <c r="FU21" s="26">
        <v>3.1243096499999989</v>
      </c>
      <c r="FV21" s="26">
        <v>0</v>
      </c>
      <c r="FW21" s="26">
        <v>5.6338939874999996</v>
      </c>
      <c r="FX21" s="26">
        <v>11.558596099999997</v>
      </c>
      <c r="FY21" s="26">
        <v>23.049272424999998</v>
      </c>
      <c r="FZ21" s="26">
        <v>22.986296270833328</v>
      </c>
      <c r="GA21" s="26">
        <v>22.986296270833328</v>
      </c>
      <c r="GB21" s="26">
        <v>22.986296270833328</v>
      </c>
      <c r="GC21" s="26">
        <v>440.27993261250003</v>
      </c>
      <c r="GD21" s="26">
        <v>0</v>
      </c>
      <c r="GE21" s="26">
        <v>0</v>
      </c>
      <c r="GF21" s="26">
        <v>0</v>
      </c>
      <c r="GG21" s="26">
        <v>0</v>
      </c>
      <c r="GH21" s="26">
        <v>0</v>
      </c>
      <c r="GI21" s="26">
        <v>0</v>
      </c>
      <c r="GJ21" s="10"/>
      <c r="GK21" s="26">
        <v>6490.6505223755948</v>
      </c>
      <c r="GL21" s="26">
        <v>1621.5169318722253</v>
      </c>
      <c r="GM21" s="26">
        <v>1361.7676527957037</v>
      </c>
      <c r="GN21" s="26">
        <v>4277.0812211764369</v>
      </c>
      <c r="GO21" s="26">
        <v>7256.5167359933603</v>
      </c>
      <c r="GP21" s="26">
        <v>9430.4019666701497</v>
      </c>
      <c r="GQ21" s="26">
        <v>6402.8847381559126</v>
      </c>
      <c r="GR21" s="26">
        <v>2532.7800041475962</v>
      </c>
      <c r="GS21" s="26">
        <v>1786.9754102374952</v>
      </c>
      <c r="GT21" s="26">
        <v>3098.1415241073328</v>
      </c>
      <c r="GU21" s="26">
        <v>1220.2748773830265</v>
      </c>
      <c r="GV21" s="26">
        <v>1317.0632840376963</v>
      </c>
      <c r="GW21" s="26">
        <v>775.18797841310811</v>
      </c>
      <c r="GX21" s="26">
        <v>571.75148493359188</v>
      </c>
      <c r="GY21" s="26">
        <v>2727.8035080153027</v>
      </c>
      <c r="GZ21" s="26">
        <v>394.13469203193409</v>
      </c>
      <c r="HA21" s="2"/>
      <c r="HB21" s="26">
        <v>12425.747605774861</v>
      </c>
      <c r="HC21" s="26">
        <v>1417.2758442478573</v>
      </c>
      <c r="HD21" s="26">
        <v>1908.7969771845505</v>
      </c>
      <c r="HE21" s="26">
        <v>1476.4199512927953</v>
      </c>
      <c r="HF21" s="26">
        <v>1159.4112066834496</v>
      </c>
      <c r="HG21" s="26">
        <v>3757.0498482348958</v>
      </c>
      <c r="HH21" s="26">
        <v>3383.8148326232549</v>
      </c>
      <c r="HI21" s="26">
        <v>4292.8869082677966</v>
      </c>
      <c r="HJ21" s="26">
        <v>1829.2279467255946</v>
      </c>
      <c r="HK21" s="26">
        <v>90.337486456296091</v>
      </c>
      <c r="HL21" s="26">
        <v>216.58840846295459</v>
      </c>
      <c r="HM21" s="26">
        <v>455.56236679628796</v>
      </c>
      <c r="HN21" s="26">
        <v>33.637019574065718</v>
      </c>
      <c r="HO21" s="26">
        <v>3811.4820960808584</v>
      </c>
      <c r="HP21" s="26">
        <v>1615.7410411288611</v>
      </c>
      <c r="HQ21" s="26">
        <v>5.7202676985732188E-5</v>
      </c>
      <c r="HR21" s="2"/>
      <c r="HS21" s="2"/>
      <c r="HT21" s="2"/>
      <c r="HV21" s="21" t="b">
        <f t="shared" si="81"/>
        <v>1</v>
      </c>
      <c r="HW21" s="21" t="b">
        <f t="shared" si="82"/>
        <v>1</v>
      </c>
      <c r="HX21" s="21" t="b">
        <f t="shared" si="83"/>
        <v>1</v>
      </c>
      <c r="HY21" s="21" t="b">
        <f t="shared" si="84"/>
        <v>1</v>
      </c>
      <c r="HZ21" s="21" t="b">
        <f t="shared" si="85"/>
        <v>1</v>
      </c>
      <c r="IA21" s="21" t="b">
        <f t="shared" si="86"/>
        <v>1</v>
      </c>
      <c r="IB21" s="21" t="b">
        <f t="shared" si="87"/>
        <v>1</v>
      </c>
      <c r="IC21" s="21" t="b">
        <f t="shared" si="88"/>
        <v>1</v>
      </c>
      <c r="ID21" s="21" t="b">
        <f t="shared" si="89"/>
        <v>1</v>
      </c>
      <c r="IE21" s="21" t="b">
        <f t="shared" si="90"/>
        <v>1</v>
      </c>
      <c r="IF21" s="21" t="b">
        <f t="shared" si="91"/>
        <v>1</v>
      </c>
      <c r="IG21" s="21" t="b">
        <f t="shared" si="92"/>
        <v>1</v>
      </c>
      <c r="IH21" s="21" t="b">
        <f t="shared" si="93"/>
        <v>1</v>
      </c>
      <c r="II21" s="21" t="b">
        <f t="shared" si="94"/>
        <v>1</v>
      </c>
      <c r="IJ21" s="21" t="b">
        <f t="shared" si="95"/>
        <v>1</v>
      </c>
      <c r="IK21" s="21" t="b">
        <f t="shared" si="96"/>
        <v>1</v>
      </c>
      <c r="IM21" s="21" t="b">
        <f t="shared" si="97"/>
        <v>1</v>
      </c>
      <c r="IN21" s="21" t="b">
        <f t="shared" si="98"/>
        <v>1</v>
      </c>
      <c r="IO21" s="21" t="b">
        <f t="shared" si="99"/>
        <v>1</v>
      </c>
      <c r="IP21" s="21" t="b">
        <f t="shared" si="100"/>
        <v>1</v>
      </c>
      <c r="IQ21" s="21" t="b">
        <f t="shared" si="101"/>
        <v>1</v>
      </c>
      <c r="IR21" s="21" t="b">
        <f t="shared" si="102"/>
        <v>1</v>
      </c>
      <c r="IS21" s="21" t="b">
        <f t="shared" si="103"/>
        <v>1</v>
      </c>
      <c r="IT21" s="21" t="b">
        <f t="shared" si="104"/>
        <v>1</v>
      </c>
      <c r="IU21" s="21" t="b">
        <f t="shared" si="105"/>
        <v>1</v>
      </c>
      <c r="IV21" s="21" t="b">
        <f t="shared" si="106"/>
        <v>1</v>
      </c>
      <c r="IW21" s="21" t="b">
        <f t="shared" si="107"/>
        <v>1</v>
      </c>
      <c r="IX21" s="21" t="b">
        <f t="shared" si="108"/>
        <v>1</v>
      </c>
      <c r="IY21" s="21" t="b">
        <f t="shared" si="109"/>
        <v>1</v>
      </c>
      <c r="IZ21" s="21" t="b">
        <f t="shared" si="110"/>
        <v>1</v>
      </c>
      <c r="JA21" s="21" t="b">
        <f t="shared" si="111"/>
        <v>1</v>
      </c>
      <c r="JB21" s="21" t="b">
        <f t="shared" si="112"/>
        <v>1</v>
      </c>
    </row>
    <row r="22" spans="1:272" x14ac:dyDescent="0.25">
      <c r="A22" t="s">
        <v>65</v>
      </c>
      <c r="B22" s="2">
        <v>42094</v>
      </c>
      <c r="C22" s="22"/>
      <c r="D22" s="18"/>
      <c r="E22" s="11"/>
      <c r="F22" s="26">
        <v>1471.6521291443594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0"/>
      <c r="W22" s="26">
        <v>229.65856644874995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10"/>
      <c r="AN22" s="26">
        <v>618.84863847245333</v>
      </c>
      <c r="AO22" s="26">
        <v>1304.4267551126372</v>
      </c>
      <c r="AP22" s="26">
        <v>54.935990633263231</v>
      </c>
      <c r="AQ22" s="26">
        <v>1540.4544239008126</v>
      </c>
      <c r="AR22" s="26">
        <v>450.75500762889521</v>
      </c>
      <c r="AS22" s="26">
        <v>8.6607862994030089</v>
      </c>
      <c r="AT22" s="26">
        <v>887.56309251513846</v>
      </c>
      <c r="AU22" s="26">
        <v>6.4907753367701497</v>
      </c>
      <c r="AV22" s="26">
        <v>7.6069343441241131</v>
      </c>
      <c r="AW22" s="26">
        <v>1748.3141005670045</v>
      </c>
      <c r="AX22" s="26">
        <v>7.4836632225918693</v>
      </c>
      <c r="AY22" s="26">
        <v>6.2465969723410995</v>
      </c>
      <c r="AZ22" s="26">
        <v>82.586053457706825</v>
      </c>
      <c r="BA22" s="26">
        <v>6.1123720235015195</v>
      </c>
      <c r="BB22" s="26">
        <v>16.869197126705441</v>
      </c>
      <c r="BC22" s="26">
        <v>318.79672358492911</v>
      </c>
      <c r="BD22" s="10"/>
      <c r="BE22" s="26">
        <v>2996.2159934342262</v>
      </c>
      <c r="BF22" s="26">
        <v>1774.0039215760687</v>
      </c>
      <c r="BG22" s="26">
        <v>1726.6822515263923</v>
      </c>
      <c r="BH22" s="26">
        <v>4974.6328957153992</v>
      </c>
      <c r="BI22" s="26">
        <v>4215.5486474999225</v>
      </c>
      <c r="BJ22" s="26">
        <v>10121.317450502222</v>
      </c>
      <c r="BK22" s="26">
        <v>5966.3613193552028</v>
      </c>
      <c r="BL22" s="26">
        <v>2496.5223596090245</v>
      </c>
      <c r="BM22" s="26">
        <v>1895.9198477892194</v>
      </c>
      <c r="BN22" s="26">
        <v>1413.3229531711645</v>
      </c>
      <c r="BO22" s="26">
        <v>1284.1373742672308</v>
      </c>
      <c r="BP22" s="26">
        <v>1676.4013165161612</v>
      </c>
      <c r="BQ22" s="26">
        <v>714.04928713952881</v>
      </c>
      <c r="BR22" s="26">
        <v>584.68361990691585</v>
      </c>
      <c r="BS22" s="26">
        <v>2699.1496837658469</v>
      </c>
      <c r="BT22" s="26">
        <v>67.76366288245849</v>
      </c>
      <c r="BU22" s="10"/>
      <c r="BV22" s="26">
        <v>12937.57110848941</v>
      </c>
      <c r="BW22" s="26">
        <v>1014.9320477759896</v>
      </c>
      <c r="BX22" s="26">
        <v>1949.2582104664943</v>
      </c>
      <c r="BY22" s="26">
        <v>1079.697675807919</v>
      </c>
      <c r="BZ22" s="26">
        <v>1202.6153663584369</v>
      </c>
      <c r="CA22" s="26">
        <v>3395.2579982212715</v>
      </c>
      <c r="CB22" s="26">
        <v>2764.9999897643274</v>
      </c>
      <c r="CC22" s="26">
        <v>3825.1750596536635</v>
      </c>
      <c r="CD22" s="26">
        <v>1664.64551700621</v>
      </c>
      <c r="CE22" s="26">
        <v>25.134292465714566</v>
      </c>
      <c r="CF22" s="26">
        <v>25.065619535480373</v>
      </c>
      <c r="CG22" s="26">
        <v>25.065619535480373</v>
      </c>
      <c r="CH22" s="26">
        <v>25.065619535480373</v>
      </c>
      <c r="CI22" s="26">
        <v>2945.9412604190861</v>
      </c>
      <c r="CJ22" s="26">
        <v>5.7678125968916998E-5</v>
      </c>
      <c r="CK22" s="26">
        <v>5.7693919541197653E-5</v>
      </c>
      <c r="CL22" s="10"/>
      <c r="CM22" s="26">
        <v>-2.9943500000000007E-3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10"/>
      <c r="DD22" s="26">
        <v>113.4469111807239</v>
      </c>
      <c r="DE22" s="26">
        <v>42.49998693739704</v>
      </c>
      <c r="DF22" s="26">
        <v>2.370946763339342</v>
      </c>
      <c r="DG22" s="26">
        <v>18.591536766524449</v>
      </c>
      <c r="DH22" s="26">
        <v>8.7221234579644928</v>
      </c>
      <c r="DI22" s="26">
        <v>87.543341962619934</v>
      </c>
      <c r="DJ22" s="26">
        <v>61.616746657723148</v>
      </c>
      <c r="DK22" s="26">
        <v>114.75607864545009</v>
      </c>
      <c r="DL22" s="26">
        <v>15.867578757782677</v>
      </c>
      <c r="DM22" s="26">
        <v>28.399165861825953</v>
      </c>
      <c r="DN22" s="26">
        <v>9.050455287345549E-3</v>
      </c>
      <c r="DO22" s="26">
        <v>9.050455287345549E-3</v>
      </c>
      <c r="DP22" s="26">
        <v>9.0752510552560856E-3</v>
      </c>
      <c r="DQ22" s="26">
        <v>38.357854817953879</v>
      </c>
      <c r="DR22" s="26">
        <v>9.9078792870325109E-15</v>
      </c>
      <c r="DS22" s="26">
        <v>9.910592287932575E-15</v>
      </c>
      <c r="DT22" s="10"/>
      <c r="DU22" s="26">
        <v>1.958522047802306</v>
      </c>
      <c r="DV22" s="26">
        <v>1.8061135462708133</v>
      </c>
      <c r="DW22" s="26">
        <v>1.8448838229137658</v>
      </c>
      <c r="DX22" s="26">
        <v>39.241604364228422</v>
      </c>
      <c r="DY22" s="26">
        <v>59.37628768204366</v>
      </c>
      <c r="DZ22" s="26">
        <v>101.73409185497124</v>
      </c>
      <c r="EA22" s="26">
        <v>115.11925751992271</v>
      </c>
      <c r="EB22" s="26">
        <v>130.77277500215777</v>
      </c>
      <c r="EC22" s="26">
        <v>148.83561171232276</v>
      </c>
      <c r="ED22" s="26">
        <v>12.31524966499752</v>
      </c>
      <c r="EE22" s="26">
        <v>12.31524966499752</v>
      </c>
      <c r="EF22" s="26">
        <v>12.31524966499752</v>
      </c>
      <c r="EG22" s="26">
        <v>12.348990075038609</v>
      </c>
      <c r="EH22" s="26">
        <v>927.79987441783226</v>
      </c>
      <c r="EI22" s="26">
        <v>1644.6602670762638</v>
      </c>
      <c r="EJ22" s="26">
        <v>0</v>
      </c>
      <c r="EK22" s="10"/>
      <c r="EL22" s="26">
        <v>24.141705644444439</v>
      </c>
      <c r="EM22" s="26">
        <v>11.968582555555555</v>
      </c>
      <c r="EN22" s="26">
        <v>8.3609374999999986</v>
      </c>
      <c r="EO22" s="26">
        <v>6.1654386111111101</v>
      </c>
      <c r="EP22" s="26">
        <v>51.002162883333327</v>
      </c>
      <c r="EQ22" s="26">
        <v>229.85496489166664</v>
      </c>
      <c r="ER22" s="26">
        <v>576.81715184722225</v>
      </c>
      <c r="ES22" s="26">
        <v>343.28055972222216</v>
      </c>
      <c r="ET22" s="26">
        <v>33.897164722222215</v>
      </c>
      <c r="EU22" s="26">
        <v>33.990033666666662</v>
      </c>
      <c r="EV22" s="26">
        <v>183.89716472222221</v>
      </c>
      <c r="EW22" s="26">
        <v>422.87112305555559</v>
      </c>
      <c r="EX22" s="26">
        <v>0.94577583333333326</v>
      </c>
      <c r="EY22" s="26">
        <v>0.94836699999999985</v>
      </c>
      <c r="EZ22" s="26">
        <v>17.360552833333333</v>
      </c>
      <c r="FA22" s="26">
        <v>0</v>
      </c>
      <c r="FB22" s="10"/>
      <c r="FC22" s="26">
        <v>0</v>
      </c>
      <c r="FD22" s="26">
        <v>0</v>
      </c>
      <c r="FE22" s="26">
        <v>0</v>
      </c>
      <c r="FF22" s="26">
        <v>0</v>
      </c>
      <c r="FG22" s="26">
        <v>0</v>
      </c>
      <c r="FH22" s="26">
        <v>0</v>
      </c>
      <c r="FI22" s="26">
        <v>0</v>
      </c>
      <c r="FJ22" s="26">
        <v>0</v>
      </c>
      <c r="FK22" s="26">
        <v>0</v>
      </c>
      <c r="FL22" s="26">
        <v>0</v>
      </c>
      <c r="FM22" s="26">
        <v>0</v>
      </c>
      <c r="FN22" s="26">
        <v>0</v>
      </c>
      <c r="FO22" s="26">
        <v>0</v>
      </c>
      <c r="FP22" s="26">
        <v>0</v>
      </c>
      <c r="FQ22" s="26">
        <v>0</v>
      </c>
      <c r="FR22" s="26">
        <v>0</v>
      </c>
      <c r="FS22" s="10"/>
      <c r="FT22" s="26">
        <v>2.6114639999999998</v>
      </c>
      <c r="FU22" s="26">
        <v>3.0224299874999998</v>
      </c>
      <c r="FV22" s="26">
        <v>0</v>
      </c>
      <c r="FW22" s="26">
        <v>5.7647899166666656</v>
      </c>
      <c r="FX22" s="26">
        <v>11.587612366666665</v>
      </c>
      <c r="FY22" s="26">
        <v>23.049272424999998</v>
      </c>
      <c r="FZ22" s="26">
        <v>22.986296270833328</v>
      </c>
      <c r="GA22" s="26">
        <v>22.986296270833328</v>
      </c>
      <c r="GB22" s="26">
        <v>22.986296270833328</v>
      </c>
      <c r="GC22" s="26">
        <v>434.48612642916663</v>
      </c>
      <c r="GD22" s="26">
        <v>0</v>
      </c>
      <c r="GE22" s="26">
        <v>0</v>
      </c>
      <c r="GF22" s="26">
        <v>0</v>
      </c>
      <c r="GG22" s="26">
        <v>0</v>
      </c>
      <c r="GH22" s="26">
        <v>0</v>
      </c>
      <c r="GI22" s="26">
        <v>0</v>
      </c>
      <c r="GJ22" s="10"/>
      <c r="GK22" s="26">
        <v>5316.3753274997889</v>
      </c>
      <c r="GL22" s="26">
        <v>3078.4306766887057</v>
      </c>
      <c r="GM22" s="26">
        <v>1781.6182421596554</v>
      </c>
      <c r="GN22" s="26">
        <v>6515.087319616212</v>
      </c>
      <c r="GO22" s="26">
        <v>4666.3036551288178</v>
      </c>
      <c r="GP22" s="26">
        <v>10129.978236801624</v>
      </c>
      <c r="GQ22" s="26">
        <v>6853.9244118703409</v>
      </c>
      <c r="GR22" s="26">
        <v>2503.0131349457947</v>
      </c>
      <c r="GS22" s="26">
        <v>1903.5267821333434</v>
      </c>
      <c r="GT22" s="26">
        <v>3161.637053738169</v>
      </c>
      <c r="GU22" s="26">
        <v>1291.6210374898226</v>
      </c>
      <c r="GV22" s="26">
        <v>1682.6479134885024</v>
      </c>
      <c r="GW22" s="26">
        <v>796.63534059723565</v>
      </c>
      <c r="GX22" s="26">
        <v>590.79599193041736</v>
      </c>
      <c r="GY22" s="26">
        <v>2716.0188808925523</v>
      </c>
      <c r="GZ22" s="26">
        <v>386.56038646738762</v>
      </c>
      <c r="HA22" s="2"/>
      <c r="HB22" s="26">
        <v>13077.115253012382</v>
      </c>
      <c r="HC22" s="26">
        <v>1071.2067308152129</v>
      </c>
      <c r="HD22" s="26">
        <v>1961.8349785527475</v>
      </c>
      <c r="HE22" s="26">
        <v>1143.696255549783</v>
      </c>
      <c r="HF22" s="26">
        <v>1321.7159403817784</v>
      </c>
      <c r="HG22" s="26">
        <v>3814.3903969305293</v>
      </c>
      <c r="HH22" s="26">
        <v>3518.5531457891952</v>
      </c>
      <c r="HI22" s="26">
        <v>4413.9844730234936</v>
      </c>
      <c r="HJ22" s="26">
        <v>1863.2458721985377</v>
      </c>
      <c r="HK22" s="26">
        <v>99.8387416592047</v>
      </c>
      <c r="HL22" s="26">
        <v>221.28708437798747</v>
      </c>
      <c r="HM22" s="26">
        <v>460.26104271132084</v>
      </c>
      <c r="HN22" s="26">
        <v>38.369460694907573</v>
      </c>
      <c r="HO22" s="26">
        <v>3913.0473566548721</v>
      </c>
      <c r="HP22" s="26">
        <v>1662.0208775877231</v>
      </c>
      <c r="HQ22" s="26">
        <v>5.7693919551108243E-5</v>
      </c>
      <c r="HR22" s="2"/>
      <c r="HS22" s="2"/>
      <c r="HT22" s="2"/>
      <c r="HV22" s="21" t="b">
        <f t="shared" si="81"/>
        <v>1</v>
      </c>
      <c r="HW22" s="21" t="b">
        <f t="shared" si="82"/>
        <v>1</v>
      </c>
      <c r="HX22" s="21" t="b">
        <f t="shared" si="83"/>
        <v>1</v>
      </c>
      <c r="HY22" s="21" t="b">
        <f t="shared" si="84"/>
        <v>1</v>
      </c>
      <c r="HZ22" s="21" t="b">
        <f t="shared" si="85"/>
        <v>1</v>
      </c>
      <c r="IA22" s="21" t="b">
        <f t="shared" si="86"/>
        <v>1</v>
      </c>
      <c r="IB22" s="21" t="b">
        <f t="shared" si="87"/>
        <v>1</v>
      </c>
      <c r="IC22" s="21" t="b">
        <f t="shared" si="88"/>
        <v>1</v>
      </c>
      <c r="ID22" s="21" t="b">
        <f t="shared" si="89"/>
        <v>1</v>
      </c>
      <c r="IE22" s="21" t="b">
        <f t="shared" si="90"/>
        <v>1</v>
      </c>
      <c r="IF22" s="21" t="b">
        <f t="shared" si="91"/>
        <v>1</v>
      </c>
      <c r="IG22" s="21" t="b">
        <f t="shared" si="92"/>
        <v>1</v>
      </c>
      <c r="IH22" s="21" t="b">
        <f t="shared" si="93"/>
        <v>1</v>
      </c>
      <c r="II22" s="21" t="b">
        <f t="shared" si="94"/>
        <v>1</v>
      </c>
      <c r="IJ22" s="21" t="b">
        <f t="shared" si="95"/>
        <v>1</v>
      </c>
      <c r="IK22" s="21" t="b">
        <f t="shared" si="96"/>
        <v>1</v>
      </c>
      <c r="IM22" s="21" t="b">
        <f t="shared" si="97"/>
        <v>1</v>
      </c>
      <c r="IN22" s="21" t="b">
        <f t="shared" si="98"/>
        <v>1</v>
      </c>
      <c r="IO22" s="21" t="b">
        <f t="shared" si="99"/>
        <v>1</v>
      </c>
      <c r="IP22" s="21" t="b">
        <f t="shared" si="100"/>
        <v>1</v>
      </c>
      <c r="IQ22" s="21" t="b">
        <f t="shared" si="101"/>
        <v>1</v>
      </c>
      <c r="IR22" s="21" t="b">
        <f t="shared" si="102"/>
        <v>1</v>
      </c>
      <c r="IS22" s="21" t="b">
        <f t="shared" si="103"/>
        <v>1</v>
      </c>
      <c r="IT22" s="21" t="b">
        <f t="shared" si="104"/>
        <v>1</v>
      </c>
      <c r="IU22" s="21" t="b">
        <f t="shared" si="105"/>
        <v>1</v>
      </c>
      <c r="IV22" s="21" t="b">
        <f t="shared" si="106"/>
        <v>1</v>
      </c>
      <c r="IW22" s="21" t="b">
        <f t="shared" si="107"/>
        <v>1</v>
      </c>
      <c r="IX22" s="21" t="b">
        <f t="shared" si="108"/>
        <v>1</v>
      </c>
      <c r="IY22" s="21" t="b">
        <f t="shared" si="109"/>
        <v>1</v>
      </c>
      <c r="IZ22" s="21" t="b">
        <f t="shared" si="110"/>
        <v>1</v>
      </c>
      <c r="JA22" s="21" t="b">
        <f t="shared" si="111"/>
        <v>1</v>
      </c>
      <c r="JB22" s="21" t="b">
        <f t="shared" si="112"/>
        <v>1</v>
      </c>
    </row>
    <row r="23" spans="1:272" x14ac:dyDescent="0.25">
      <c r="A23" t="s">
        <v>66</v>
      </c>
      <c r="B23" s="2">
        <v>42185</v>
      </c>
      <c r="C23" s="22"/>
      <c r="D23" s="18"/>
      <c r="E23" s="11"/>
      <c r="F23" s="26">
        <v>1656.3416321587033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0"/>
      <c r="W23" s="26">
        <v>229.64688025499996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10"/>
      <c r="AN23" s="26">
        <v>790.99821199894757</v>
      </c>
      <c r="AO23" s="26">
        <v>1533.1594256536125</v>
      </c>
      <c r="AP23" s="26">
        <v>-51.060015396989222</v>
      </c>
      <c r="AQ23" s="26">
        <v>367.24210586487203</v>
      </c>
      <c r="AR23" s="26">
        <v>1452.1219276202248</v>
      </c>
      <c r="AS23" s="26">
        <v>9.9753692912310754</v>
      </c>
      <c r="AT23" s="26">
        <v>888.71961874998931</v>
      </c>
      <c r="AU23" s="26">
        <v>8.0442647344422795</v>
      </c>
      <c r="AV23" s="26">
        <v>9.2372718393672795</v>
      </c>
      <c r="AW23" s="26">
        <v>1749.8468320153831</v>
      </c>
      <c r="AX23" s="26">
        <v>9.0967895935840204</v>
      </c>
      <c r="AY23" s="26">
        <v>7.7628365116034388</v>
      </c>
      <c r="AZ23" s="26">
        <v>84.212730508208253</v>
      </c>
      <c r="BA23" s="26">
        <v>7.610430179779538</v>
      </c>
      <c r="BB23" s="26">
        <v>20.251152585246292</v>
      </c>
      <c r="BC23" s="26">
        <v>320.258295324394</v>
      </c>
      <c r="BD23" s="10"/>
      <c r="BE23" s="26">
        <v>4834.9351141309662</v>
      </c>
      <c r="BF23" s="26">
        <v>1963.2005623490934</v>
      </c>
      <c r="BG23" s="26">
        <v>1635.0932520452473</v>
      </c>
      <c r="BH23" s="26">
        <v>3286.5485779226019</v>
      </c>
      <c r="BI23" s="26">
        <v>4268.285349964709</v>
      </c>
      <c r="BJ23" s="26">
        <v>10645.786759135859</v>
      </c>
      <c r="BK23" s="26">
        <v>6148.2494830020769</v>
      </c>
      <c r="BL23" s="26">
        <v>2543.5293773707385</v>
      </c>
      <c r="BM23" s="26">
        <v>1992.1345319154759</v>
      </c>
      <c r="BN23" s="26">
        <v>1522.2018375477219</v>
      </c>
      <c r="BO23" s="26">
        <v>1296.6110550957069</v>
      </c>
      <c r="BP23" s="26">
        <v>1937.5166585562222</v>
      </c>
      <c r="BQ23" s="26">
        <v>731.45878399305309</v>
      </c>
      <c r="BR23" s="26">
        <v>601.24541176667447</v>
      </c>
      <c r="BS23" s="26">
        <v>2678.6940426720394</v>
      </c>
      <c r="BT23" s="26">
        <v>59.371973092346082</v>
      </c>
      <c r="BU23" s="10"/>
      <c r="BV23" s="26">
        <v>13397.554253939208</v>
      </c>
      <c r="BW23" s="26">
        <v>696.28871573232027</v>
      </c>
      <c r="BX23" s="26">
        <v>1976.7898521308559</v>
      </c>
      <c r="BY23" s="26">
        <v>1316.1765140834968</v>
      </c>
      <c r="BZ23" s="26">
        <v>1310.89852642095</v>
      </c>
      <c r="CA23" s="26">
        <v>3570.7359139121386</v>
      </c>
      <c r="CB23" s="26">
        <v>2939.9837276357739</v>
      </c>
      <c r="CC23" s="26">
        <v>3982.0846092813181</v>
      </c>
      <c r="CD23" s="26">
        <v>1740.402136641233</v>
      </c>
      <c r="CE23" s="26">
        <v>28.926164649004654</v>
      </c>
      <c r="CF23" s="26">
        <v>28.847131412258737</v>
      </c>
      <c r="CG23" s="26">
        <v>28.847131412258737</v>
      </c>
      <c r="CH23" s="26">
        <v>28.847131412258737</v>
      </c>
      <c r="CI23" s="26">
        <v>3208.7393498145138</v>
      </c>
      <c r="CJ23" s="26">
        <v>6.7822818238858182E-5</v>
      </c>
      <c r="CK23" s="26">
        <v>6.7841389656776832E-5</v>
      </c>
      <c r="CL23" s="10"/>
      <c r="CM23" s="26">
        <v>-2.9943500000000007E-3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0</v>
      </c>
      <c r="DB23" s="26">
        <v>0</v>
      </c>
      <c r="DC23" s="10"/>
      <c r="DD23" s="26">
        <v>123.45219476667418</v>
      </c>
      <c r="DE23" s="26">
        <v>45.981605204389808</v>
      </c>
      <c r="DF23" s="26">
        <v>3.1968108759358573</v>
      </c>
      <c r="DG23" s="26">
        <v>6.9418889984127077</v>
      </c>
      <c r="DH23" s="26">
        <v>6.8899666771589505</v>
      </c>
      <c r="DI23" s="26">
        <v>90.755588149233262</v>
      </c>
      <c r="DJ23" s="26">
        <v>63.854404952729645</v>
      </c>
      <c r="DK23" s="26">
        <v>118.72821540588619</v>
      </c>
      <c r="DL23" s="26">
        <v>16.358797817644803</v>
      </c>
      <c r="DM23" s="26">
        <v>30.701152143846429</v>
      </c>
      <c r="DN23" s="26">
        <v>9.050455287345549E-3</v>
      </c>
      <c r="DO23" s="26">
        <v>9.050455287345549E-3</v>
      </c>
      <c r="DP23" s="26">
        <v>38.364673654129277</v>
      </c>
      <c r="DQ23" s="26">
        <v>9.902453285232389E-16</v>
      </c>
      <c r="DR23" s="26">
        <v>9.9078792870325109E-15</v>
      </c>
      <c r="DS23" s="26">
        <v>9.9105922879325766E-15</v>
      </c>
      <c r="DT23" s="10"/>
      <c r="DU23" s="26">
        <v>35.379434175552824</v>
      </c>
      <c r="DV23" s="26">
        <v>2.8221645642696922</v>
      </c>
      <c r="DW23" s="26">
        <v>2.9437203749018654</v>
      </c>
      <c r="DX23" s="26">
        <v>7.7596159985350965</v>
      </c>
      <c r="DY23" s="26">
        <v>61.129278531064742</v>
      </c>
      <c r="DZ23" s="26">
        <v>109.36271196927723</v>
      </c>
      <c r="EA23" s="26">
        <v>122.82199288554024</v>
      </c>
      <c r="EB23" s="26">
        <v>138.56807453375745</v>
      </c>
      <c r="EC23" s="26">
        <v>156.74601143392718</v>
      </c>
      <c r="ED23" s="26">
        <v>15.953829834403136</v>
      </c>
      <c r="EE23" s="26">
        <v>15.953829834403136</v>
      </c>
      <c r="EF23" s="26">
        <v>15.953829834403136</v>
      </c>
      <c r="EG23" s="26">
        <v>862.24406180832545</v>
      </c>
      <c r="EH23" s="26">
        <v>106.57095233987459</v>
      </c>
      <c r="EI23" s="26">
        <v>1682.0211638262858</v>
      </c>
      <c r="EJ23" s="26">
        <v>0</v>
      </c>
      <c r="EK23" s="10"/>
      <c r="EL23" s="26">
        <v>1.0743055555555554</v>
      </c>
      <c r="EM23" s="26">
        <v>2.2281122222222214</v>
      </c>
      <c r="EN23" s="26">
        <v>2.8630208333333331</v>
      </c>
      <c r="EO23" s="26">
        <v>44.856038508333334</v>
      </c>
      <c r="EP23" s="26">
        <v>50.864607563888882</v>
      </c>
      <c r="EQ23" s="26">
        <v>225.60559629166664</v>
      </c>
      <c r="ER23" s="26">
        <v>709.29905731388885</v>
      </c>
      <c r="ES23" s="26">
        <v>187.19958249999999</v>
      </c>
      <c r="ET23" s="26">
        <v>33.990033666666662</v>
      </c>
      <c r="EU23" s="26">
        <v>33.897164722222215</v>
      </c>
      <c r="EV23" s="26">
        <v>178.39924805555557</v>
      </c>
      <c r="EW23" s="26">
        <v>411.9679980555556</v>
      </c>
      <c r="EX23" s="26">
        <v>0.94836699999999985</v>
      </c>
      <c r="EY23" s="26">
        <v>0.94577583333333326</v>
      </c>
      <c r="EZ23" s="26">
        <v>16.891551666666668</v>
      </c>
      <c r="FA23" s="26">
        <v>0</v>
      </c>
      <c r="FB23" s="10"/>
      <c r="FC23" s="26">
        <v>0</v>
      </c>
      <c r="FD23" s="26">
        <v>0</v>
      </c>
      <c r="FE23" s="26">
        <v>0</v>
      </c>
      <c r="FF23" s="26">
        <v>0</v>
      </c>
      <c r="FG23" s="26">
        <v>0</v>
      </c>
      <c r="FH23" s="26">
        <v>0</v>
      </c>
      <c r="FI23" s="26">
        <v>0</v>
      </c>
      <c r="FJ23" s="26">
        <v>0</v>
      </c>
      <c r="FK23" s="26">
        <v>0</v>
      </c>
      <c r="FL23" s="26">
        <v>0</v>
      </c>
      <c r="FM23" s="26">
        <v>0</v>
      </c>
      <c r="FN23" s="26">
        <v>0</v>
      </c>
      <c r="FO23" s="26">
        <v>0</v>
      </c>
      <c r="FP23" s="26">
        <v>0</v>
      </c>
      <c r="FQ23" s="26">
        <v>0</v>
      </c>
      <c r="FR23" s="26">
        <v>0</v>
      </c>
      <c r="FS23" s="10"/>
      <c r="FT23" s="26">
        <v>2.6404802666666667</v>
      </c>
      <c r="FU23" s="26">
        <v>3.1243096499999989</v>
      </c>
      <c r="FV23" s="26">
        <v>0</v>
      </c>
      <c r="FW23" s="26">
        <v>5.7938061833333325</v>
      </c>
      <c r="FX23" s="26">
        <v>11.490676324999999</v>
      </c>
      <c r="FY23" s="26">
        <v>22.986296270833332</v>
      </c>
      <c r="FZ23" s="26">
        <v>22.986296270833332</v>
      </c>
      <c r="GA23" s="26">
        <v>22.986296270833332</v>
      </c>
      <c r="GB23" s="26">
        <v>23.049272424999998</v>
      </c>
      <c r="GC23" s="26">
        <v>428.78925628749994</v>
      </c>
      <c r="GD23" s="26">
        <v>0</v>
      </c>
      <c r="GE23" s="26">
        <v>0</v>
      </c>
      <c r="GF23" s="26">
        <v>0</v>
      </c>
      <c r="GG23" s="26">
        <v>0</v>
      </c>
      <c r="GH23" s="26">
        <v>0</v>
      </c>
      <c r="GI23" s="26">
        <v>0</v>
      </c>
      <c r="GJ23" s="10"/>
      <c r="GK23" s="26">
        <v>7511.921838543617</v>
      </c>
      <c r="GL23" s="26">
        <v>3496.3599880027059</v>
      </c>
      <c r="GM23" s="26">
        <v>1584.033236648258</v>
      </c>
      <c r="GN23" s="26">
        <v>3653.7906837874739</v>
      </c>
      <c r="GO23" s="26">
        <v>5720.4072775849336</v>
      </c>
      <c r="GP23" s="26">
        <v>10655.76212842709</v>
      </c>
      <c r="GQ23" s="26">
        <v>7036.9691017520663</v>
      </c>
      <c r="GR23" s="26">
        <v>2551.5736421051806</v>
      </c>
      <c r="GS23" s="26">
        <v>2001.3718037548431</v>
      </c>
      <c r="GT23" s="26">
        <v>3272.0486695631052</v>
      </c>
      <c r="GU23" s="26">
        <v>1305.7078446892908</v>
      </c>
      <c r="GV23" s="26">
        <v>1945.2794950678256</v>
      </c>
      <c r="GW23" s="26">
        <v>815.6715145012613</v>
      </c>
      <c r="GX23" s="26">
        <v>608.85584194645401</v>
      </c>
      <c r="GY23" s="26">
        <v>2698.9451952572858</v>
      </c>
      <c r="GZ23" s="26">
        <v>379.63026841674008</v>
      </c>
      <c r="HA23" s="2"/>
      <c r="HB23" s="26">
        <v>13557.457194086992</v>
      </c>
      <c r="HC23" s="26">
        <v>747.3205977232019</v>
      </c>
      <c r="HD23" s="26">
        <v>1985.7934042150271</v>
      </c>
      <c r="HE23" s="26">
        <v>1375.7340575887779</v>
      </c>
      <c r="HF23" s="26">
        <v>1429.7823791930628</v>
      </c>
      <c r="HG23" s="26">
        <v>3996.4598103223157</v>
      </c>
      <c r="HH23" s="26">
        <v>3835.9591827879321</v>
      </c>
      <c r="HI23" s="26">
        <v>4426.5804817209619</v>
      </c>
      <c r="HJ23" s="26">
        <v>1947.4969795594716</v>
      </c>
      <c r="HK23" s="26">
        <v>109.47831134947643</v>
      </c>
      <c r="HL23" s="26">
        <v>223.20925975750478</v>
      </c>
      <c r="HM23" s="26">
        <v>456.77800975750483</v>
      </c>
      <c r="HN23" s="26">
        <v>930.40423387471344</v>
      </c>
      <c r="HO23" s="26">
        <v>3316.2560779877217</v>
      </c>
      <c r="HP23" s="26">
        <v>1698.9127833157706</v>
      </c>
      <c r="HQ23" s="26">
        <v>6.7841389666687429E-5</v>
      </c>
      <c r="HR23" s="2"/>
      <c r="HS23" s="2"/>
      <c r="HT23" s="2"/>
      <c r="HV23" s="21" t="b">
        <f t="shared" si="81"/>
        <v>1</v>
      </c>
      <c r="HW23" s="21" t="b">
        <f t="shared" si="82"/>
        <v>1</v>
      </c>
      <c r="HX23" s="21" t="b">
        <f t="shared" si="83"/>
        <v>1</v>
      </c>
      <c r="HY23" s="21" t="b">
        <f t="shared" si="84"/>
        <v>1</v>
      </c>
      <c r="HZ23" s="21" t="b">
        <f t="shared" si="85"/>
        <v>1</v>
      </c>
      <c r="IA23" s="21" t="b">
        <f t="shared" si="86"/>
        <v>1</v>
      </c>
      <c r="IB23" s="21" t="b">
        <f t="shared" si="87"/>
        <v>1</v>
      </c>
      <c r="IC23" s="21" t="b">
        <f t="shared" si="88"/>
        <v>1</v>
      </c>
      <c r="ID23" s="21" t="b">
        <f t="shared" si="89"/>
        <v>1</v>
      </c>
      <c r="IE23" s="21" t="b">
        <f t="shared" si="90"/>
        <v>1</v>
      </c>
      <c r="IF23" s="21" t="b">
        <f t="shared" si="91"/>
        <v>1</v>
      </c>
      <c r="IG23" s="21" t="b">
        <f t="shared" si="92"/>
        <v>1</v>
      </c>
      <c r="IH23" s="21" t="b">
        <f t="shared" si="93"/>
        <v>1</v>
      </c>
      <c r="II23" s="21" t="b">
        <f t="shared" si="94"/>
        <v>1</v>
      </c>
      <c r="IJ23" s="21" t="b">
        <f t="shared" si="95"/>
        <v>1</v>
      </c>
      <c r="IK23" s="21" t="b">
        <f t="shared" si="96"/>
        <v>1</v>
      </c>
      <c r="IM23" s="21" t="b">
        <f t="shared" si="97"/>
        <v>1</v>
      </c>
      <c r="IN23" s="21" t="b">
        <f t="shared" si="98"/>
        <v>1</v>
      </c>
      <c r="IO23" s="21" t="b">
        <f t="shared" si="99"/>
        <v>1</v>
      </c>
      <c r="IP23" s="21" t="b">
        <f t="shared" si="100"/>
        <v>1</v>
      </c>
      <c r="IQ23" s="21" t="b">
        <f t="shared" si="101"/>
        <v>1</v>
      </c>
      <c r="IR23" s="21" t="b">
        <f t="shared" si="102"/>
        <v>1</v>
      </c>
      <c r="IS23" s="21" t="b">
        <f t="shared" si="103"/>
        <v>1</v>
      </c>
      <c r="IT23" s="21" t="b">
        <f t="shared" si="104"/>
        <v>1</v>
      </c>
      <c r="IU23" s="21" t="b">
        <f t="shared" si="105"/>
        <v>1</v>
      </c>
      <c r="IV23" s="21" t="b">
        <f t="shared" si="106"/>
        <v>1</v>
      </c>
      <c r="IW23" s="21" t="b">
        <f t="shared" si="107"/>
        <v>1</v>
      </c>
      <c r="IX23" s="21" t="b">
        <f t="shared" si="108"/>
        <v>1</v>
      </c>
      <c r="IY23" s="21" t="b">
        <f t="shared" si="109"/>
        <v>1</v>
      </c>
      <c r="IZ23" s="21" t="b">
        <f t="shared" si="110"/>
        <v>1</v>
      </c>
      <c r="JA23" s="21" t="b">
        <f t="shared" si="111"/>
        <v>1</v>
      </c>
      <c r="JB23" s="21" t="b">
        <f t="shared" si="112"/>
        <v>1</v>
      </c>
    </row>
    <row r="24" spans="1:272" x14ac:dyDescent="0.25">
      <c r="A24" t="s">
        <v>67</v>
      </c>
      <c r="B24" s="2">
        <v>42277</v>
      </c>
      <c r="C24" s="22"/>
      <c r="D24" s="18"/>
      <c r="E24" s="11"/>
      <c r="F24" s="26">
        <v>1724.1294646798383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0"/>
      <c r="W24" s="26">
        <v>229.65880494249998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10"/>
      <c r="AN24" s="26">
        <v>584.71519566445522</v>
      </c>
      <c r="AO24" s="26">
        <v>449.34390037106817</v>
      </c>
      <c r="AP24" s="26">
        <v>45.445689571053137</v>
      </c>
      <c r="AQ24" s="26">
        <v>846.79369148423461</v>
      </c>
      <c r="AR24" s="26">
        <v>2533.7258589921034</v>
      </c>
      <c r="AS24" s="26">
        <v>665.59814027666266</v>
      </c>
      <c r="AT24" s="26">
        <v>236.78491270422455</v>
      </c>
      <c r="AU24" s="26">
        <v>10.9946060847222</v>
      </c>
      <c r="AV24" s="26">
        <v>1751.6442913828869</v>
      </c>
      <c r="AW24" s="26">
        <v>10.821907469615869</v>
      </c>
      <c r="AX24" s="26">
        <v>9.5328230037219921</v>
      </c>
      <c r="AY24" s="26">
        <v>85.935364417619368</v>
      </c>
      <c r="AZ24" s="26">
        <v>9.4007390089680367</v>
      </c>
      <c r="BA24" s="26">
        <v>3.2477058416272788</v>
      </c>
      <c r="BB24" s="26">
        <v>23.85037937830192</v>
      </c>
      <c r="BC24" s="26">
        <v>321.82834279477561</v>
      </c>
      <c r="BD24" s="10"/>
      <c r="BE24" s="26">
        <v>3163.6711507842747</v>
      </c>
      <c r="BF24" s="26">
        <v>1999.5370365003505</v>
      </c>
      <c r="BG24" s="26">
        <v>1806.251911457467</v>
      </c>
      <c r="BH24" s="26">
        <v>3247.4565276425546</v>
      </c>
      <c r="BI24" s="26">
        <v>9151.6557623586705</v>
      </c>
      <c r="BJ24" s="26">
        <v>9847.7185133806379</v>
      </c>
      <c r="BK24" s="26">
        <v>4256.7555840800924</v>
      </c>
      <c r="BL24" s="26">
        <v>2635.1929392161887</v>
      </c>
      <c r="BM24" s="26">
        <v>2089.6288601358619</v>
      </c>
      <c r="BN24" s="26">
        <v>1658.5396551086856</v>
      </c>
      <c r="BO24" s="26">
        <v>1498.4964194103475</v>
      </c>
      <c r="BP24" s="26">
        <v>1935.4350649188118</v>
      </c>
      <c r="BQ24" s="26">
        <v>745.88284680177719</v>
      </c>
      <c r="BR24" s="26">
        <v>618.19700670599582</v>
      </c>
      <c r="BS24" s="26">
        <v>2653.807919084114</v>
      </c>
      <c r="BT24" s="26">
        <v>51.353514127321802</v>
      </c>
      <c r="BU24" s="10"/>
      <c r="BV24" s="26">
        <v>13593.635808796836</v>
      </c>
      <c r="BW24" s="26">
        <v>939.72671853992426</v>
      </c>
      <c r="BX24" s="26">
        <v>2014.9882928034733</v>
      </c>
      <c r="BY24" s="26">
        <v>1303.3380810117083</v>
      </c>
      <c r="BZ24" s="26">
        <v>1130.9957157920649</v>
      </c>
      <c r="CA24" s="26">
        <v>3654.1549170872627</v>
      </c>
      <c r="CB24" s="26">
        <v>3038.0149472602452</v>
      </c>
      <c r="CC24" s="26">
        <v>4079.6786210349828</v>
      </c>
      <c r="CD24" s="26">
        <v>1768.5760237031272</v>
      </c>
      <c r="CE24" s="26">
        <v>26.851647767047155</v>
      </c>
      <c r="CF24" s="26">
        <v>26.77828260921369</v>
      </c>
      <c r="CG24" s="26">
        <v>26.77828260921369</v>
      </c>
      <c r="CH24" s="26">
        <v>26.77828260921369</v>
      </c>
      <c r="CI24" s="26">
        <v>3148.0404163714047</v>
      </c>
      <c r="CJ24" s="26">
        <v>6.1726276007901157E-5</v>
      </c>
      <c r="CK24" s="26">
        <v>6.1743178055000819E-5</v>
      </c>
      <c r="CL24" s="10"/>
      <c r="CM24" s="26">
        <v>-2.9943500000000007E-3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10"/>
      <c r="DD24" s="26">
        <v>118.66443033484785</v>
      </c>
      <c r="DE24" s="26">
        <v>44.46872741647676</v>
      </c>
      <c r="DF24" s="26">
        <v>2.6909924038243043</v>
      </c>
      <c r="DG24" s="26">
        <v>6.0907853346537522</v>
      </c>
      <c r="DH24" s="26">
        <v>82.190755130366583</v>
      </c>
      <c r="DI24" s="26">
        <v>74.686441515858178</v>
      </c>
      <c r="DJ24" s="26">
        <v>115.56292838114099</v>
      </c>
      <c r="DK24" s="26">
        <v>39.908595916458353</v>
      </c>
      <c r="DL24" s="26">
        <v>19.866401181144731</v>
      </c>
      <c r="DM24" s="26">
        <v>19.201904241790103</v>
      </c>
      <c r="DN24" s="26">
        <v>9.050455287345549E-3</v>
      </c>
      <c r="DO24" s="26">
        <v>9.050455287345549E-3</v>
      </c>
      <c r="DP24" s="26">
        <v>38.362392443481511</v>
      </c>
      <c r="DQ24" s="26">
        <v>9.902453285232389E-16</v>
      </c>
      <c r="DR24" s="26">
        <v>9.9078792870325109E-15</v>
      </c>
      <c r="DS24" s="26">
        <v>9.910592287932575E-15</v>
      </c>
      <c r="DT24" s="10"/>
      <c r="DU24" s="26">
        <v>3.5005199193226892</v>
      </c>
      <c r="DV24" s="26">
        <v>3.4131376612951954</v>
      </c>
      <c r="DW24" s="26">
        <v>3.7212226902233532</v>
      </c>
      <c r="DX24" s="26">
        <v>57.207222668905487</v>
      </c>
      <c r="DY24" s="26">
        <v>96.507942377851364</v>
      </c>
      <c r="DZ24" s="26">
        <v>134.02650350983222</v>
      </c>
      <c r="EA24" s="26">
        <v>149.85213040559685</v>
      </c>
      <c r="EB24" s="26">
        <v>168.1155447968747</v>
      </c>
      <c r="EC24" s="26">
        <v>41.417168440765572</v>
      </c>
      <c r="ED24" s="26">
        <v>21.269762438896084</v>
      </c>
      <c r="EE24" s="26">
        <v>21.269762438896084</v>
      </c>
      <c r="EF24" s="26">
        <v>21.269762438896084</v>
      </c>
      <c r="EG24" s="26">
        <v>900.7675401038008</v>
      </c>
      <c r="EH24" s="26">
        <v>110.09512284875267</v>
      </c>
      <c r="EI24" s="26">
        <v>1736.814960641382</v>
      </c>
      <c r="EJ24" s="26">
        <v>0</v>
      </c>
      <c r="EK24" s="10"/>
      <c r="EL24" s="26">
        <v>24.292125577777774</v>
      </c>
      <c r="EM24" s="26">
        <v>12.203886888888889</v>
      </c>
      <c r="EN24" s="26">
        <v>8.3600260416666661</v>
      </c>
      <c r="EO24" s="26">
        <v>6.1461243750000003</v>
      </c>
      <c r="EP24" s="26">
        <v>50.883921799999989</v>
      </c>
      <c r="EQ24" s="26">
        <v>225.60559629166664</v>
      </c>
      <c r="ER24" s="26">
        <v>856.43603648055557</v>
      </c>
      <c r="ES24" s="26">
        <v>33.897164722222215</v>
      </c>
      <c r="ET24" s="26">
        <v>33.990033666666662</v>
      </c>
      <c r="EU24" s="26">
        <v>33.897164722222215</v>
      </c>
      <c r="EV24" s="26">
        <v>178.39924805555557</v>
      </c>
      <c r="EW24" s="26">
        <v>411.9679980555556</v>
      </c>
      <c r="EX24" s="26">
        <v>0.94836699999999985</v>
      </c>
      <c r="EY24" s="26">
        <v>0.94577583333333326</v>
      </c>
      <c r="EZ24" s="26">
        <v>16.891551666666668</v>
      </c>
      <c r="FA24" s="26">
        <v>0</v>
      </c>
      <c r="FB24" s="10"/>
      <c r="FC24" s="26">
        <v>0</v>
      </c>
      <c r="FD24" s="26">
        <v>0</v>
      </c>
      <c r="FE24" s="26">
        <v>0</v>
      </c>
      <c r="FF24" s="26">
        <v>0</v>
      </c>
      <c r="FG24" s="26">
        <v>0</v>
      </c>
      <c r="FH24" s="26">
        <v>0</v>
      </c>
      <c r="FI24" s="26">
        <v>0</v>
      </c>
      <c r="FJ24" s="26">
        <v>0</v>
      </c>
      <c r="FK24" s="26">
        <v>0</v>
      </c>
      <c r="FL24" s="26">
        <v>0</v>
      </c>
      <c r="FM24" s="26">
        <v>0</v>
      </c>
      <c r="FN24" s="26">
        <v>0</v>
      </c>
      <c r="FO24" s="26">
        <v>0</v>
      </c>
      <c r="FP24" s="26">
        <v>0</v>
      </c>
      <c r="FQ24" s="26">
        <v>0</v>
      </c>
      <c r="FR24" s="26">
        <v>0</v>
      </c>
      <c r="FS24" s="10"/>
      <c r="FT24" s="26">
        <v>2.6694965333333331</v>
      </c>
      <c r="FU24" s="26">
        <v>3.1243096499999989</v>
      </c>
      <c r="FV24" s="26">
        <v>0</v>
      </c>
      <c r="FW24" s="26">
        <v>5.7938061833333325</v>
      </c>
      <c r="FX24" s="26">
        <v>11.461660058333331</v>
      </c>
      <c r="FY24" s="26">
        <v>22.986296270833328</v>
      </c>
      <c r="FZ24" s="26">
        <v>22.986296270833328</v>
      </c>
      <c r="GA24" s="26">
        <v>22.986296270833328</v>
      </c>
      <c r="GB24" s="26">
        <v>446.07373879583326</v>
      </c>
      <c r="GC24" s="26">
        <v>0</v>
      </c>
      <c r="GD24" s="26">
        <v>0</v>
      </c>
      <c r="GE24" s="26">
        <v>0</v>
      </c>
      <c r="GF24" s="26">
        <v>0</v>
      </c>
      <c r="GG24" s="26">
        <v>0</v>
      </c>
      <c r="GH24" s="26">
        <v>0</v>
      </c>
      <c r="GI24" s="26">
        <v>0</v>
      </c>
      <c r="GJ24" s="10"/>
      <c r="GK24" s="26">
        <v>5702.1746160710682</v>
      </c>
      <c r="GL24" s="26">
        <v>2448.8809368714187</v>
      </c>
      <c r="GM24" s="26">
        <v>1851.6976010285202</v>
      </c>
      <c r="GN24" s="26">
        <v>4094.2502191267895</v>
      </c>
      <c r="GO24" s="26">
        <v>11685.381621350774</v>
      </c>
      <c r="GP24" s="26">
        <v>10513.316653657301</v>
      </c>
      <c r="GQ24" s="26">
        <v>4493.5404967843169</v>
      </c>
      <c r="GR24" s="26">
        <v>2646.1875453009111</v>
      </c>
      <c r="GS24" s="26">
        <v>3841.2731515187488</v>
      </c>
      <c r="GT24" s="26">
        <v>1669.3615625783013</v>
      </c>
      <c r="GU24" s="26">
        <v>1508.0292424140694</v>
      </c>
      <c r="GV24" s="26">
        <v>2021.3704293364312</v>
      </c>
      <c r="GW24" s="26">
        <v>755.28358581074519</v>
      </c>
      <c r="GX24" s="26">
        <v>621.44471254762311</v>
      </c>
      <c r="GY24" s="26">
        <v>2677.658298462416</v>
      </c>
      <c r="GZ24" s="26">
        <v>373.18185692209738</v>
      </c>
      <c r="HA24" s="2"/>
      <c r="HB24" s="26">
        <v>13740.089890278785</v>
      </c>
      <c r="HC24" s="26">
        <v>999.8124705065851</v>
      </c>
      <c r="HD24" s="26">
        <v>2029.7605339391878</v>
      </c>
      <c r="HE24" s="26">
        <v>1372.7822133902673</v>
      </c>
      <c r="HF24" s="26">
        <v>1360.5783351002829</v>
      </c>
      <c r="HG24" s="26">
        <v>4088.47345840462</v>
      </c>
      <c r="HH24" s="26">
        <v>4159.8660425275384</v>
      </c>
      <c r="HI24" s="26">
        <v>4321.5999264705388</v>
      </c>
      <c r="HJ24" s="26">
        <v>1863.8496269917043</v>
      </c>
      <c r="HK24" s="26">
        <v>101.22047916995555</v>
      </c>
      <c r="HL24" s="26">
        <v>226.45634355895271</v>
      </c>
      <c r="HM24" s="26">
        <v>460.02509355895273</v>
      </c>
      <c r="HN24" s="26">
        <v>966.85658215649596</v>
      </c>
      <c r="HO24" s="26">
        <v>3259.0813150534905</v>
      </c>
      <c r="HP24" s="26">
        <v>1753.7065740343246</v>
      </c>
      <c r="HQ24" s="26">
        <v>6.1743178064911416E-5</v>
      </c>
      <c r="HR24" s="2"/>
      <c r="HS24" s="2"/>
      <c r="HT24" s="2"/>
      <c r="HV24" s="21" t="b">
        <f t="shared" si="81"/>
        <v>1</v>
      </c>
      <c r="HW24" s="21" t="b">
        <f t="shared" si="82"/>
        <v>1</v>
      </c>
      <c r="HX24" s="21" t="b">
        <f t="shared" si="83"/>
        <v>1</v>
      </c>
      <c r="HY24" s="21" t="b">
        <f t="shared" si="84"/>
        <v>1</v>
      </c>
      <c r="HZ24" s="21" t="b">
        <f t="shared" si="85"/>
        <v>1</v>
      </c>
      <c r="IA24" s="21" t="b">
        <f t="shared" si="86"/>
        <v>1</v>
      </c>
      <c r="IB24" s="21" t="b">
        <f t="shared" si="87"/>
        <v>1</v>
      </c>
      <c r="IC24" s="21" t="b">
        <f t="shared" si="88"/>
        <v>1</v>
      </c>
      <c r="ID24" s="21" t="b">
        <f t="shared" si="89"/>
        <v>1</v>
      </c>
      <c r="IE24" s="21" t="b">
        <f t="shared" si="90"/>
        <v>1</v>
      </c>
      <c r="IF24" s="21" t="b">
        <f t="shared" si="91"/>
        <v>1</v>
      </c>
      <c r="IG24" s="21" t="b">
        <f t="shared" si="92"/>
        <v>1</v>
      </c>
      <c r="IH24" s="21" t="b">
        <f t="shared" si="93"/>
        <v>1</v>
      </c>
      <c r="II24" s="21" t="b">
        <f t="shared" si="94"/>
        <v>1</v>
      </c>
      <c r="IJ24" s="21" t="b">
        <f t="shared" si="95"/>
        <v>1</v>
      </c>
      <c r="IK24" s="21" t="b">
        <f t="shared" si="96"/>
        <v>1</v>
      </c>
      <c r="IM24" s="21" t="b">
        <f t="shared" si="97"/>
        <v>1</v>
      </c>
      <c r="IN24" s="21" t="b">
        <f t="shared" si="98"/>
        <v>1</v>
      </c>
      <c r="IO24" s="21" t="b">
        <f t="shared" si="99"/>
        <v>1</v>
      </c>
      <c r="IP24" s="21" t="b">
        <f t="shared" si="100"/>
        <v>1</v>
      </c>
      <c r="IQ24" s="21" t="b">
        <f t="shared" si="101"/>
        <v>1</v>
      </c>
      <c r="IR24" s="21" t="b">
        <f t="shared" si="102"/>
        <v>1</v>
      </c>
      <c r="IS24" s="21" t="b">
        <f t="shared" si="103"/>
        <v>1</v>
      </c>
      <c r="IT24" s="21" t="b">
        <f t="shared" si="104"/>
        <v>1</v>
      </c>
      <c r="IU24" s="21" t="b">
        <f t="shared" si="105"/>
        <v>1</v>
      </c>
      <c r="IV24" s="21" t="b">
        <f t="shared" si="106"/>
        <v>1</v>
      </c>
      <c r="IW24" s="21" t="b">
        <f t="shared" si="107"/>
        <v>1</v>
      </c>
      <c r="IX24" s="21" t="b">
        <f t="shared" si="108"/>
        <v>1</v>
      </c>
      <c r="IY24" s="21" t="b">
        <f t="shared" si="109"/>
        <v>1</v>
      </c>
      <c r="IZ24" s="21" t="b">
        <f t="shared" si="110"/>
        <v>1</v>
      </c>
      <c r="JA24" s="21" t="b">
        <f t="shared" si="111"/>
        <v>1</v>
      </c>
      <c r="JB24" s="21" t="b">
        <f t="shared" si="112"/>
        <v>1</v>
      </c>
    </row>
    <row r="25" spans="1:272" x14ac:dyDescent="0.25">
      <c r="A25" t="s">
        <v>68</v>
      </c>
      <c r="B25" s="2">
        <v>42369</v>
      </c>
      <c r="C25" s="22"/>
      <c r="D25" s="18"/>
      <c r="E25" s="11"/>
      <c r="F25" s="26">
        <v>1918.7634939160071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0"/>
      <c r="W25" s="26">
        <v>229.69553297999997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10"/>
      <c r="AN25" s="26">
        <v>879.07467198522204</v>
      </c>
      <c r="AO25" s="26">
        <v>445.74675334531628</v>
      </c>
      <c r="AP25" s="26">
        <v>261.2833005325777</v>
      </c>
      <c r="AQ25" s="26">
        <v>1387.5141148824318</v>
      </c>
      <c r="AR25" s="26">
        <v>1819.020009248226</v>
      </c>
      <c r="AS25" s="26">
        <v>769.99786022803994</v>
      </c>
      <c r="AT25" s="26">
        <v>134.85355289493359</v>
      </c>
      <c r="AU25" s="26">
        <v>12.164622339245087</v>
      </c>
      <c r="AV25" s="26">
        <v>1753.3700118378279</v>
      </c>
      <c r="AW25" s="26">
        <v>11.9734801563938</v>
      </c>
      <c r="AX25" s="26">
        <v>11.238165930828783</v>
      </c>
      <c r="AY25" s="26">
        <v>86.992080642812368</v>
      </c>
      <c r="AZ25" s="26">
        <v>11.195180720401675</v>
      </c>
      <c r="BA25" s="26">
        <v>5.9557405312566072</v>
      </c>
      <c r="BB25" s="26">
        <v>26.937038141592833</v>
      </c>
      <c r="BC25" s="26">
        <v>323.14466698249544</v>
      </c>
      <c r="BD25" s="10"/>
      <c r="BE25" s="26">
        <v>3146.0335975923231</v>
      </c>
      <c r="BF25" s="26">
        <v>2023.0015210719155</v>
      </c>
      <c r="BG25" s="26">
        <v>1593.0751902325537</v>
      </c>
      <c r="BH25" s="26">
        <v>3811.6426530720928</v>
      </c>
      <c r="BI25" s="26">
        <v>9357.3311382630181</v>
      </c>
      <c r="BJ25" s="26">
        <v>10135.142203854239</v>
      </c>
      <c r="BK25" s="26">
        <v>4356.3110772384907</v>
      </c>
      <c r="BL25" s="26">
        <v>2676.1907910856885</v>
      </c>
      <c r="BM25" s="26">
        <v>2172.444565682139</v>
      </c>
      <c r="BN25" s="26">
        <v>1696.6749977635643</v>
      </c>
      <c r="BO25" s="26">
        <v>1771.0290122632471</v>
      </c>
      <c r="BP25" s="26">
        <v>1939.3317387316265</v>
      </c>
      <c r="BQ25" s="26">
        <v>759.81273571551992</v>
      </c>
      <c r="BR25" s="26">
        <v>637.08431191736031</v>
      </c>
      <c r="BS25" s="26">
        <v>2624.5560858625322</v>
      </c>
      <c r="BT25" s="26">
        <v>43.720364677917132</v>
      </c>
      <c r="BU25" s="10"/>
      <c r="BV25" s="26">
        <v>13950.871832906047</v>
      </c>
      <c r="BW25" s="26">
        <v>953.72518203277161</v>
      </c>
      <c r="BX25" s="26">
        <v>2118.6916391673467</v>
      </c>
      <c r="BY25" s="26">
        <v>1432.8358682459861</v>
      </c>
      <c r="BZ25" s="26">
        <v>1199.876609718397</v>
      </c>
      <c r="CA25" s="26">
        <v>3904.7512438443759</v>
      </c>
      <c r="CB25" s="26">
        <v>3187.815020049648</v>
      </c>
      <c r="CC25" s="26">
        <v>4254.9685141761574</v>
      </c>
      <c r="CD25" s="26">
        <v>1873.2434126450544</v>
      </c>
      <c r="CE25" s="26">
        <v>31.200577155913862</v>
      </c>
      <c r="CF25" s="26">
        <v>31.115329677345791</v>
      </c>
      <c r="CG25" s="26">
        <v>31.115329677345791</v>
      </c>
      <c r="CH25" s="26">
        <v>31.115329677345791</v>
      </c>
      <c r="CI25" s="26">
        <v>3440.914626062442</v>
      </c>
      <c r="CJ25" s="26">
        <v>7.3365368308781991E-5</v>
      </c>
      <c r="CK25" s="26">
        <v>7.3385457401966214E-5</v>
      </c>
      <c r="CL25" s="10"/>
      <c r="CM25" s="26">
        <v>-2.9943500000000007E-3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10"/>
      <c r="DD25" s="26">
        <v>119.1603758294842</v>
      </c>
      <c r="DE25" s="26">
        <v>44.885716960823146</v>
      </c>
      <c r="DF25" s="26">
        <v>2.0778567555014922</v>
      </c>
      <c r="DG25" s="26">
        <v>5.9096104810946546</v>
      </c>
      <c r="DH25" s="26">
        <v>91.642027060628976</v>
      </c>
      <c r="DI25" s="26">
        <v>75.777663095528155</v>
      </c>
      <c r="DJ25" s="26">
        <v>122.70449770031672</v>
      </c>
      <c r="DK25" s="26">
        <v>35.233275975178103</v>
      </c>
      <c r="DL25" s="26">
        <v>27.495702951530397</v>
      </c>
      <c r="DM25" s="26">
        <v>13.497633183730875</v>
      </c>
      <c r="DN25" s="26">
        <v>9.050455287345549E-3</v>
      </c>
      <c r="DO25" s="26">
        <v>9.050455287345549E-3</v>
      </c>
      <c r="DP25" s="26">
        <v>38.360111232833738</v>
      </c>
      <c r="DQ25" s="26">
        <v>9.902453285232389E-16</v>
      </c>
      <c r="DR25" s="26">
        <v>9.9078792870325109E-15</v>
      </c>
      <c r="DS25" s="26">
        <v>9.910592287932575E-15</v>
      </c>
      <c r="DT25" s="10"/>
      <c r="DU25" s="26">
        <v>52.078712604158845</v>
      </c>
      <c r="DV25" s="26">
        <v>3.6726096423399439</v>
      </c>
      <c r="DW25" s="26">
        <v>3.4053947226250547</v>
      </c>
      <c r="DX25" s="26">
        <v>10.799282866419118</v>
      </c>
      <c r="DY25" s="26">
        <v>102.65709972008743</v>
      </c>
      <c r="DZ25" s="26">
        <v>142.20749988621668</v>
      </c>
      <c r="EA25" s="26">
        <v>158.15770081452459</v>
      </c>
      <c r="EB25" s="26">
        <v>176.55877087963555</v>
      </c>
      <c r="EC25" s="26">
        <v>43.471819537962801</v>
      </c>
      <c r="ED25" s="26">
        <v>25.021866568734325</v>
      </c>
      <c r="EE25" s="26">
        <v>25.021866568734325</v>
      </c>
      <c r="EF25" s="26">
        <v>25.021866568734325</v>
      </c>
      <c r="EG25" s="26">
        <v>934.11455981095082</v>
      </c>
      <c r="EH25" s="26">
        <v>105.38043444718416</v>
      </c>
      <c r="EI25" s="26">
        <v>1774.1727139545476</v>
      </c>
      <c r="EJ25" s="26">
        <v>0</v>
      </c>
      <c r="EK25" s="10"/>
      <c r="EL25" s="26">
        <v>1.086111111111111</v>
      </c>
      <c r="EM25" s="26">
        <v>2.2281122222222214</v>
      </c>
      <c r="EN25" s="26">
        <v>2.8319010416666663</v>
      </c>
      <c r="EO25" s="26">
        <v>44.718483188888875</v>
      </c>
      <c r="EP25" s="26">
        <v>179.0214771194444</v>
      </c>
      <c r="EQ25" s="26">
        <v>576.81715184722225</v>
      </c>
      <c r="ER25" s="26">
        <v>349.39556430555552</v>
      </c>
      <c r="ES25" s="26">
        <v>33.897164722222215</v>
      </c>
      <c r="ET25" s="26">
        <v>33.990033666666662</v>
      </c>
      <c r="EU25" s="26">
        <v>183.89716472222221</v>
      </c>
      <c r="EV25" s="26">
        <v>422.87112305555559</v>
      </c>
      <c r="EW25" s="26">
        <v>0.94577583333333326</v>
      </c>
      <c r="EX25" s="26">
        <v>0.94836699999999985</v>
      </c>
      <c r="EY25" s="26">
        <v>0.94577583333333326</v>
      </c>
      <c r="EZ25" s="26">
        <v>16.414777000000001</v>
      </c>
      <c r="FA25" s="26">
        <v>0</v>
      </c>
      <c r="FB25" s="10"/>
      <c r="FC25" s="26">
        <v>0</v>
      </c>
      <c r="FD25" s="26">
        <v>0</v>
      </c>
      <c r="FE25" s="26">
        <v>0</v>
      </c>
      <c r="FF25" s="26">
        <v>0</v>
      </c>
      <c r="FG25" s="26">
        <v>0</v>
      </c>
      <c r="FH25" s="26">
        <v>0</v>
      </c>
      <c r="FI25" s="26">
        <v>0</v>
      </c>
      <c r="FJ25" s="26">
        <v>0</v>
      </c>
      <c r="FK25" s="26">
        <v>0</v>
      </c>
      <c r="FL25" s="26">
        <v>0</v>
      </c>
      <c r="FM25" s="26">
        <v>0</v>
      </c>
      <c r="FN25" s="26">
        <v>0</v>
      </c>
      <c r="FO25" s="26">
        <v>0</v>
      </c>
      <c r="FP25" s="26">
        <v>0</v>
      </c>
      <c r="FQ25" s="26">
        <v>0</v>
      </c>
      <c r="FR25" s="26">
        <v>0</v>
      </c>
      <c r="FS25" s="10"/>
      <c r="FT25" s="26">
        <v>2.6694965333333331</v>
      </c>
      <c r="FU25" s="26">
        <v>3.1243096499999989</v>
      </c>
      <c r="FV25" s="26">
        <v>0</v>
      </c>
      <c r="FW25" s="26">
        <v>5.6968701416666656</v>
      </c>
      <c r="FX25" s="26">
        <v>11.558596099999997</v>
      </c>
      <c r="FY25" s="26">
        <v>22.986296270833328</v>
      </c>
      <c r="FZ25" s="26">
        <v>22.986296270833328</v>
      </c>
      <c r="GA25" s="26">
        <v>22.986296270833328</v>
      </c>
      <c r="GB25" s="26">
        <v>440.27993261250003</v>
      </c>
      <c r="GC25" s="26">
        <v>0</v>
      </c>
      <c r="GD25" s="26">
        <v>0</v>
      </c>
      <c r="GE25" s="26">
        <v>0</v>
      </c>
      <c r="GF25" s="26">
        <v>0</v>
      </c>
      <c r="GG25" s="26">
        <v>0</v>
      </c>
      <c r="GH25" s="26">
        <v>0</v>
      </c>
      <c r="GI25" s="26">
        <v>0</v>
      </c>
      <c r="GJ25" s="10"/>
      <c r="GK25" s="26">
        <v>6173.5672964735513</v>
      </c>
      <c r="GL25" s="26">
        <v>2468.7482744172316</v>
      </c>
      <c r="GM25" s="26">
        <v>1854.3584907651314</v>
      </c>
      <c r="GN25" s="26">
        <v>5199.1567679545242</v>
      </c>
      <c r="GO25" s="26">
        <v>11176.351147511245</v>
      </c>
      <c r="GP25" s="26">
        <v>10905.140064082279</v>
      </c>
      <c r="GQ25" s="26">
        <v>4491.164630133424</v>
      </c>
      <c r="GR25" s="26">
        <v>2688.3554134249334</v>
      </c>
      <c r="GS25" s="26">
        <v>3925.8145775199669</v>
      </c>
      <c r="GT25" s="26">
        <v>1708.6484779199582</v>
      </c>
      <c r="GU25" s="26">
        <v>1782.2671781940758</v>
      </c>
      <c r="GV25" s="26">
        <v>2026.3238193744389</v>
      </c>
      <c r="GW25" s="26">
        <v>771.00791643592163</v>
      </c>
      <c r="GX25" s="26">
        <v>643.04005244861696</v>
      </c>
      <c r="GY25" s="26">
        <v>2651.4931240041251</v>
      </c>
      <c r="GZ25" s="26">
        <v>366.86503166041257</v>
      </c>
      <c r="HA25" s="2"/>
      <c r="HB25" s="26">
        <v>14123.194038100803</v>
      </c>
      <c r="HC25" s="26">
        <v>1004.5116208581569</v>
      </c>
      <c r="HD25" s="26">
        <v>2127.0067916871403</v>
      </c>
      <c r="HE25" s="26">
        <v>1494.2632447823889</v>
      </c>
      <c r="HF25" s="26">
        <v>1573.197213618558</v>
      </c>
      <c r="HG25" s="26">
        <v>4699.5535586733422</v>
      </c>
      <c r="HH25" s="26">
        <v>3818.0727828700446</v>
      </c>
      <c r="HI25" s="26">
        <v>4500.6577257531935</v>
      </c>
      <c r="HJ25" s="26">
        <v>1978.2009688012142</v>
      </c>
      <c r="HK25" s="26">
        <v>253.61724163060128</v>
      </c>
      <c r="HL25" s="26">
        <v>479.01736975692302</v>
      </c>
      <c r="HM25" s="26">
        <v>57.092022534700796</v>
      </c>
      <c r="HN25" s="26">
        <v>1004.5383677211303</v>
      </c>
      <c r="HO25" s="26">
        <v>3547.2408363429595</v>
      </c>
      <c r="HP25" s="26">
        <v>1790.5875643199158</v>
      </c>
      <c r="HQ25" s="26">
        <v>7.3385457411876811E-5</v>
      </c>
      <c r="HR25" s="2"/>
      <c r="HS25" s="2"/>
      <c r="HT25" s="2"/>
      <c r="HV25" s="21" t="b">
        <f t="shared" si="81"/>
        <v>1</v>
      </c>
      <c r="HW25" s="21" t="b">
        <f t="shared" si="82"/>
        <v>1</v>
      </c>
      <c r="HX25" s="21" t="b">
        <f t="shared" si="83"/>
        <v>1</v>
      </c>
      <c r="HY25" s="21" t="b">
        <f t="shared" si="84"/>
        <v>1</v>
      </c>
      <c r="HZ25" s="21" t="b">
        <f t="shared" si="85"/>
        <v>1</v>
      </c>
      <c r="IA25" s="21" t="b">
        <f t="shared" si="86"/>
        <v>1</v>
      </c>
      <c r="IB25" s="21" t="b">
        <f t="shared" si="87"/>
        <v>1</v>
      </c>
      <c r="IC25" s="21" t="b">
        <f t="shared" si="88"/>
        <v>1</v>
      </c>
      <c r="ID25" s="21" t="b">
        <f t="shared" si="89"/>
        <v>1</v>
      </c>
      <c r="IE25" s="21" t="b">
        <f t="shared" si="90"/>
        <v>1</v>
      </c>
      <c r="IF25" s="21" t="b">
        <f t="shared" si="91"/>
        <v>1</v>
      </c>
      <c r="IG25" s="21" t="b">
        <f t="shared" si="92"/>
        <v>1</v>
      </c>
      <c r="IH25" s="21" t="b">
        <f t="shared" si="93"/>
        <v>1</v>
      </c>
      <c r="II25" s="21" t="b">
        <f t="shared" si="94"/>
        <v>1</v>
      </c>
      <c r="IJ25" s="21" t="b">
        <f t="shared" si="95"/>
        <v>1</v>
      </c>
      <c r="IK25" s="21" t="b">
        <f t="shared" si="96"/>
        <v>1</v>
      </c>
      <c r="IM25" s="21" t="b">
        <f t="shared" si="97"/>
        <v>1</v>
      </c>
      <c r="IN25" s="21" t="b">
        <f t="shared" si="98"/>
        <v>1</v>
      </c>
      <c r="IO25" s="21" t="b">
        <f t="shared" si="99"/>
        <v>1</v>
      </c>
      <c r="IP25" s="21" t="b">
        <f t="shared" si="100"/>
        <v>1</v>
      </c>
      <c r="IQ25" s="21" t="b">
        <f t="shared" si="101"/>
        <v>1</v>
      </c>
      <c r="IR25" s="21" t="b">
        <f t="shared" si="102"/>
        <v>1</v>
      </c>
      <c r="IS25" s="21" t="b">
        <f t="shared" si="103"/>
        <v>1</v>
      </c>
      <c r="IT25" s="21" t="b">
        <f t="shared" si="104"/>
        <v>1</v>
      </c>
      <c r="IU25" s="21" t="b">
        <f t="shared" si="105"/>
        <v>1</v>
      </c>
      <c r="IV25" s="21" t="b">
        <f t="shared" si="106"/>
        <v>1</v>
      </c>
      <c r="IW25" s="21" t="b">
        <f t="shared" si="107"/>
        <v>1</v>
      </c>
      <c r="IX25" s="21" t="b">
        <f t="shared" si="108"/>
        <v>1</v>
      </c>
      <c r="IY25" s="21" t="b">
        <f t="shared" si="109"/>
        <v>1</v>
      </c>
      <c r="IZ25" s="21" t="b">
        <f t="shared" si="110"/>
        <v>1</v>
      </c>
      <c r="JA25" s="21" t="b">
        <f t="shared" si="111"/>
        <v>1</v>
      </c>
      <c r="JB25" s="21" t="b">
        <f t="shared" si="112"/>
        <v>1</v>
      </c>
    </row>
    <row r="26" spans="1:272" x14ac:dyDescent="0.25">
      <c r="A26" t="s">
        <v>69</v>
      </c>
      <c r="B26" s="2">
        <v>42460</v>
      </c>
      <c r="C26" s="22"/>
      <c r="D26" s="18"/>
      <c r="E26" s="11"/>
      <c r="F26" s="26">
        <v>1995.3366080809658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0"/>
      <c r="W26" s="26">
        <v>229.70778782278231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10"/>
      <c r="AN26" s="26">
        <v>968.38661641936619</v>
      </c>
      <c r="AO26" s="26">
        <v>911.69399718555405</v>
      </c>
      <c r="AP26" s="26">
        <v>303.21053818559761</v>
      </c>
      <c r="AQ26" s="26">
        <v>1950.5224953657976</v>
      </c>
      <c r="AR26" s="26">
        <v>834.82029963221635</v>
      </c>
      <c r="AS26" s="26">
        <v>893.58673623360346</v>
      </c>
      <c r="AT26" s="26">
        <v>13.542116384996547</v>
      </c>
      <c r="AU26" s="26">
        <v>13.319293039138261</v>
      </c>
      <c r="AV26" s="26">
        <v>1754.3776362111305</v>
      </c>
      <c r="AW26" s="26">
        <v>13.114471159961621</v>
      </c>
      <c r="AX26" s="26">
        <v>12.236076975191629</v>
      </c>
      <c r="AY26" s="26">
        <v>88.152433365165379</v>
      </c>
      <c r="AZ26" s="26">
        <v>12.164079043193366</v>
      </c>
      <c r="BA26" s="26">
        <v>5.7910598214720581</v>
      </c>
      <c r="BB26" s="26">
        <v>29.179797157145753</v>
      </c>
      <c r="BC26" s="26">
        <v>324.15352545516072</v>
      </c>
      <c r="BD26" s="10"/>
      <c r="BE26" s="26">
        <v>3182.9677003320176</v>
      </c>
      <c r="BF26" s="26">
        <v>2088.3137190890243</v>
      </c>
      <c r="BG26" s="26">
        <v>2111.6133606761368</v>
      </c>
      <c r="BH26" s="26">
        <v>7637.6244939761573</v>
      </c>
      <c r="BI26" s="26">
        <v>5657.2544828336095</v>
      </c>
      <c r="BJ26" s="26">
        <v>10402.714405831208</v>
      </c>
      <c r="BK26" s="26">
        <v>4505.5370481681875</v>
      </c>
      <c r="BL26" s="26">
        <v>2796.8458024715119</v>
      </c>
      <c r="BM26" s="26">
        <v>2223.5524237373329</v>
      </c>
      <c r="BN26" s="26">
        <v>1767.7858286605158</v>
      </c>
      <c r="BO26" s="26">
        <v>2135.9356436966045</v>
      </c>
      <c r="BP26" s="26">
        <v>1829.2974573762681</v>
      </c>
      <c r="BQ26" s="26">
        <v>777.70706580405135</v>
      </c>
      <c r="BR26" s="26">
        <v>657.40052168893271</v>
      </c>
      <c r="BS26" s="26">
        <v>2609.0194228248811</v>
      </c>
      <c r="BT26" s="26">
        <v>36.637616797924949</v>
      </c>
      <c r="BU26" s="10"/>
      <c r="BV26" s="26">
        <v>14265.264413996021</v>
      </c>
      <c r="BW26" s="26">
        <v>973.22191544880445</v>
      </c>
      <c r="BX26" s="26">
        <v>2169.2044521155763</v>
      </c>
      <c r="BY26" s="26">
        <v>1215.0401746241262</v>
      </c>
      <c r="BZ26" s="26">
        <v>1392.8648263255222</v>
      </c>
      <c r="CA26" s="26">
        <v>4024.8892971075597</v>
      </c>
      <c r="CB26" s="26">
        <v>3255.2268653327096</v>
      </c>
      <c r="CC26" s="26">
        <v>4354.1925273644938</v>
      </c>
      <c r="CD26" s="26">
        <v>1904.1604820585658</v>
      </c>
      <c r="CE26" s="26">
        <v>29.454174490143195</v>
      </c>
      <c r="CF26" s="26">
        <v>29.373698603558104</v>
      </c>
      <c r="CG26" s="26">
        <v>29.373698603558104</v>
      </c>
      <c r="CH26" s="26">
        <v>29.373698603558104</v>
      </c>
      <c r="CI26" s="26">
        <v>3397.3593016467662</v>
      </c>
      <c r="CJ26" s="26">
        <v>6.8184625053114623E-5</v>
      </c>
      <c r="CK26" s="26">
        <v>6.8203295541902445E-5</v>
      </c>
      <c r="CL26" s="10"/>
      <c r="CM26" s="26">
        <v>-2.9943500000000007E-3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0</v>
      </c>
      <c r="DB26" s="26">
        <v>0</v>
      </c>
      <c r="DC26" s="10"/>
      <c r="DD26" s="26">
        <v>121.08454222022796</v>
      </c>
      <c r="DE26" s="26">
        <v>45.752110939620295</v>
      </c>
      <c r="DF26" s="26">
        <v>2.699744652825169</v>
      </c>
      <c r="DG26" s="26">
        <v>80.609497177528695</v>
      </c>
      <c r="DH26" s="26">
        <v>22.142784255832634</v>
      </c>
      <c r="DI26" s="26">
        <v>77.701102373781197</v>
      </c>
      <c r="DJ26" s="26">
        <v>127.52546978113742</v>
      </c>
      <c r="DK26" s="26">
        <v>34.301707381146365</v>
      </c>
      <c r="DL26" s="26">
        <v>32.291860965031169</v>
      </c>
      <c r="DM26" s="26">
        <v>10.960496856935235</v>
      </c>
      <c r="DN26" s="26">
        <v>9.050455287345549E-3</v>
      </c>
      <c r="DO26" s="26">
        <v>9.0752510552560856E-3</v>
      </c>
      <c r="DP26" s="26">
        <v>38.357854817953879</v>
      </c>
      <c r="DQ26" s="26">
        <v>9.902453285232389E-16</v>
      </c>
      <c r="DR26" s="26">
        <v>9.910592287932575E-15</v>
      </c>
      <c r="DS26" s="26">
        <v>9.9078792870325109E-15</v>
      </c>
      <c r="DT26" s="10"/>
      <c r="DU26" s="26">
        <v>50.358307581829038</v>
      </c>
      <c r="DV26" s="26">
        <v>4.174343803997048</v>
      </c>
      <c r="DW26" s="26">
        <v>4.9014099328875753</v>
      </c>
      <c r="DX26" s="26">
        <v>91.526712806526078</v>
      </c>
      <c r="DY26" s="26">
        <v>29.711952527929768</v>
      </c>
      <c r="DZ26" s="26">
        <v>152.95619774368322</v>
      </c>
      <c r="EA26" s="26">
        <v>169.03937060144619</v>
      </c>
      <c r="EB26" s="26">
        <v>187.68057684632811</v>
      </c>
      <c r="EC26" s="26">
        <v>50.127296211199102</v>
      </c>
      <c r="ED26" s="26">
        <v>30.05802647456979</v>
      </c>
      <c r="EE26" s="26">
        <v>30.05802647456979</v>
      </c>
      <c r="EF26" s="26">
        <v>30.140377232034371</v>
      </c>
      <c r="EG26" s="26">
        <v>960.92581325615663</v>
      </c>
      <c r="EH26" s="26">
        <v>117.34669355649326</v>
      </c>
      <c r="EI26" s="26">
        <v>1824.8526470617417</v>
      </c>
      <c r="EJ26" s="26">
        <v>0</v>
      </c>
      <c r="EK26" s="10"/>
      <c r="EL26" s="26">
        <v>24.280320022222217</v>
      </c>
      <c r="EM26" s="26">
        <v>12.047017333333333</v>
      </c>
      <c r="EN26" s="26">
        <v>8.3911458333333329</v>
      </c>
      <c r="EO26" s="26">
        <v>6.1654386111111101</v>
      </c>
      <c r="EP26" s="26">
        <v>178.97104309166667</v>
      </c>
      <c r="EQ26" s="26">
        <v>576.81715184722225</v>
      </c>
      <c r="ER26" s="26">
        <v>343.28055972222216</v>
      </c>
      <c r="ES26" s="26">
        <v>33.897164722222215</v>
      </c>
      <c r="ET26" s="26">
        <v>33.990033666666662</v>
      </c>
      <c r="EU26" s="26">
        <v>183.89716472222221</v>
      </c>
      <c r="EV26" s="26">
        <v>422.87112305555559</v>
      </c>
      <c r="EW26" s="26">
        <v>0.94577583333333326</v>
      </c>
      <c r="EX26" s="26">
        <v>0.94836699999999985</v>
      </c>
      <c r="EY26" s="26">
        <v>0.94577583333333326</v>
      </c>
      <c r="EZ26" s="26">
        <v>16.414777000000001</v>
      </c>
      <c r="FA26" s="26">
        <v>0</v>
      </c>
      <c r="FB26" s="10"/>
      <c r="FC26" s="26">
        <v>0</v>
      </c>
      <c r="FD26" s="26">
        <v>0</v>
      </c>
      <c r="FE26" s="26">
        <v>0</v>
      </c>
      <c r="FF26" s="26">
        <v>0</v>
      </c>
      <c r="FG26" s="26">
        <v>0</v>
      </c>
      <c r="FH26" s="26">
        <v>0</v>
      </c>
      <c r="FI26" s="26">
        <v>0</v>
      </c>
      <c r="FJ26" s="26">
        <v>0</v>
      </c>
      <c r="FK26" s="26">
        <v>0</v>
      </c>
      <c r="FL26" s="26">
        <v>0</v>
      </c>
      <c r="FM26" s="26">
        <v>0</v>
      </c>
      <c r="FN26" s="26">
        <v>0</v>
      </c>
      <c r="FO26" s="26">
        <v>0</v>
      </c>
      <c r="FP26" s="26">
        <v>0</v>
      </c>
      <c r="FQ26" s="26">
        <v>0</v>
      </c>
      <c r="FR26" s="26">
        <v>0</v>
      </c>
      <c r="FS26" s="10"/>
      <c r="FT26" s="26">
        <v>2.6404802666666667</v>
      </c>
      <c r="FU26" s="26">
        <v>3.0563898749999998</v>
      </c>
      <c r="FV26" s="26">
        <v>0</v>
      </c>
      <c r="FW26" s="26">
        <v>5.7647899166666656</v>
      </c>
      <c r="FX26" s="26">
        <v>11.587612366666665</v>
      </c>
      <c r="FY26" s="26">
        <v>22.986296270833328</v>
      </c>
      <c r="FZ26" s="26">
        <v>22.986296270833328</v>
      </c>
      <c r="GA26" s="26">
        <v>22.986296270833328</v>
      </c>
      <c r="GB26" s="26">
        <v>434.48612642916663</v>
      </c>
      <c r="GC26" s="26">
        <v>0</v>
      </c>
      <c r="GD26" s="26">
        <v>0</v>
      </c>
      <c r="GE26" s="26">
        <v>0</v>
      </c>
      <c r="GF26" s="26">
        <v>0</v>
      </c>
      <c r="GG26" s="26">
        <v>0</v>
      </c>
      <c r="GH26" s="26">
        <v>0</v>
      </c>
      <c r="GI26" s="26">
        <v>0</v>
      </c>
      <c r="GJ26" s="10"/>
      <c r="GK26" s="26">
        <v>6376.3987126551319</v>
      </c>
      <c r="GL26" s="26">
        <v>3000.0077162745783</v>
      </c>
      <c r="GM26" s="26">
        <v>2414.8238988617345</v>
      </c>
      <c r="GN26" s="26">
        <v>9588.1469893419544</v>
      </c>
      <c r="GO26" s="26">
        <v>6492.0747824658256</v>
      </c>
      <c r="GP26" s="26">
        <v>11296.301142064811</v>
      </c>
      <c r="GQ26" s="26">
        <v>4519.0791645531845</v>
      </c>
      <c r="GR26" s="26">
        <v>2810.1650955106502</v>
      </c>
      <c r="GS26" s="26">
        <v>3977.9300599484632</v>
      </c>
      <c r="GT26" s="26">
        <v>1780.9002998204774</v>
      </c>
      <c r="GU26" s="26">
        <v>2148.1717206717963</v>
      </c>
      <c r="GV26" s="26">
        <v>1917.4498907414334</v>
      </c>
      <c r="GW26" s="26">
        <v>789.87114484724475</v>
      </c>
      <c r="GX26" s="26">
        <v>663.19158151040472</v>
      </c>
      <c r="GY26" s="26">
        <v>2638.199219982027</v>
      </c>
      <c r="GZ26" s="26">
        <v>360.7911422530857</v>
      </c>
      <c r="HA26" s="2"/>
      <c r="HB26" s="26">
        <v>14460.984589470301</v>
      </c>
      <c r="HC26" s="26">
        <v>1035.1953875257552</v>
      </c>
      <c r="HD26" s="26">
        <v>2185.1967525346222</v>
      </c>
      <c r="HE26" s="26">
        <v>1393.3418232192921</v>
      </c>
      <c r="HF26" s="26">
        <v>1623.6906062009512</v>
      </c>
      <c r="HG26" s="26">
        <v>4832.3637490722467</v>
      </c>
      <c r="HH26" s="26">
        <v>3895.0722654375154</v>
      </c>
      <c r="HI26" s="26">
        <v>4610.0719763141906</v>
      </c>
      <c r="HJ26" s="26">
        <v>2020.5696729014628</v>
      </c>
      <c r="HK26" s="26">
        <v>254.36986254387045</v>
      </c>
      <c r="HL26" s="26">
        <v>482.31189858897085</v>
      </c>
      <c r="HM26" s="26">
        <v>60.468926919981065</v>
      </c>
      <c r="HN26" s="26">
        <v>1029.6057336776685</v>
      </c>
      <c r="HO26" s="26">
        <v>3515.6517710365929</v>
      </c>
      <c r="HP26" s="26">
        <v>1841.2674922463666</v>
      </c>
      <c r="HQ26" s="26">
        <v>6.8203295551810318E-5</v>
      </c>
      <c r="HR26" s="2"/>
      <c r="HS26" s="2"/>
      <c r="HT26" s="2"/>
      <c r="HV26" s="21" t="b">
        <f t="shared" si="81"/>
        <v>1</v>
      </c>
      <c r="HW26" s="21" t="b">
        <f t="shared" si="82"/>
        <v>1</v>
      </c>
      <c r="HX26" s="21" t="b">
        <f t="shared" si="83"/>
        <v>1</v>
      </c>
      <c r="HY26" s="21" t="b">
        <f t="shared" si="84"/>
        <v>1</v>
      </c>
      <c r="HZ26" s="21" t="b">
        <f t="shared" si="85"/>
        <v>1</v>
      </c>
      <c r="IA26" s="21" t="b">
        <f t="shared" si="86"/>
        <v>1</v>
      </c>
      <c r="IB26" s="21" t="b">
        <f t="shared" si="87"/>
        <v>1</v>
      </c>
      <c r="IC26" s="21" t="b">
        <f t="shared" si="88"/>
        <v>1</v>
      </c>
      <c r="ID26" s="21" t="b">
        <f t="shared" si="89"/>
        <v>1</v>
      </c>
      <c r="IE26" s="21" t="b">
        <f t="shared" si="90"/>
        <v>1</v>
      </c>
      <c r="IF26" s="21" t="b">
        <f t="shared" si="91"/>
        <v>1</v>
      </c>
      <c r="IG26" s="21" t="b">
        <f t="shared" si="92"/>
        <v>1</v>
      </c>
      <c r="IH26" s="21" t="b">
        <f t="shared" si="93"/>
        <v>1</v>
      </c>
      <c r="II26" s="21" t="b">
        <f t="shared" si="94"/>
        <v>1</v>
      </c>
      <c r="IJ26" s="21" t="b">
        <f t="shared" si="95"/>
        <v>1</v>
      </c>
      <c r="IK26" s="21" t="b">
        <f t="shared" si="96"/>
        <v>1</v>
      </c>
      <c r="IM26" s="21" t="b">
        <f t="shared" si="97"/>
        <v>1</v>
      </c>
      <c r="IN26" s="21" t="b">
        <f t="shared" si="98"/>
        <v>1</v>
      </c>
      <c r="IO26" s="21" t="b">
        <f t="shared" si="99"/>
        <v>1</v>
      </c>
      <c r="IP26" s="21" t="b">
        <f t="shared" si="100"/>
        <v>1</v>
      </c>
      <c r="IQ26" s="21" t="b">
        <f t="shared" si="101"/>
        <v>1</v>
      </c>
      <c r="IR26" s="21" t="b">
        <f t="shared" si="102"/>
        <v>1</v>
      </c>
      <c r="IS26" s="21" t="b">
        <f t="shared" si="103"/>
        <v>1</v>
      </c>
      <c r="IT26" s="21" t="b">
        <f t="shared" si="104"/>
        <v>1</v>
      </c>
      <c r="IU26" s="21" t="b">
        <f t="shared" si="105"/>
        <v>1</v>
      </c>
      <c r="IV26" s="21" t="b">
        <f t="shared" si="106"/>
        <v>1</v>
      </c>
      <c r="IW26" s="21" t="b">
        <f t="shared" si="107"/>
        <v>1</v>
      </c>
      <c r="IX26" s="21" t="b">
        <f t="shared" si="108"/>
        <v>1</v>
      </c>
      <c r="IY26" s="21" t="b">
        <f t="shared" si="109"/>
        <v>1</v>
      </c>
      <c r="IZ26" s="21" t="b">
        <f t="shared" si="110"/>
        <v>1</v>
      </c>
      <c r="JA26" s="21" t="b">
        <f t="shared" si="111"/>
        <v>1</v>
      </c>
      <c r="JB26" s="21" t="b">
        <f t="shared" si="112"/>
        <v>1</v>
      </c>
    </row>
    <row r="27" spans="1:272" x14ac:dyDescent="0.25">
      <c r="A27" t="s">
        <v>70</v>
      </c>
      <c r="B27" s="2">
        <v>42551</v>
      </c>
      <c r="C27" s="22"/>
      <c r="D27" s="18"/>
      <c r="E27" s="11"/>
      <c r="F27" s="26">
        <v>2186.6358751541356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0"/>
      <c r="W27" s="26">
        <v>229.6944486805464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10"/>
      <c r="AN27" s="26">
        <v>818.44741787654971</v>
      </c>
      <c r="AO27" s="26">
        <v>1734.8174996803762</v>
      </c>
      <c r="AP27" s="26">
        <v>202.57011191912756</v>
      </c>
      <c r="AQ27" s="26">
        <v>746.93106746941567</v>
      </c>
      <c r="AR27" s="26">
        <v>1682.7633764741797</v>
      </c>
      <c r="AS27" s="26">
        <v>894.36462519599206</v>
      </c>
      <c r="AT27" s="26">
        <v>14.578186602541695</v>
      </c>
      <c r="AU27" s="26">
        <v>14.509035879812817</v>
      </c>
      <c r="AV27" s="26">
        <v>1755.4227096485165</v>
      </c>
      <c r="AW27" s="26">
        <v>14.272800801911412</v>
      </c>
      <c r="AX27" s="26">
        <v>13.251346026956256</v>
      </c>
      <c r="AY27" s="26">
        <v>89.314982401765889</v>
      </c>
      <c r="AZ27" s="26">
        <v>13.137505207278268</v>
      </c>
      <c r="BA27" s="26">
        <v>5.3550002457849404</v>
      </c>
      <c r="BB27" s="26">
        <v>31.448894519622083</v>
      </c>
      <c r="BC27" s="26">
        <v>325.13424457269076</v>
      </c>
      <c r="BD27" s="10"/>
      <c r="BE27" s="26">
        <v>7055.9710214899878</v>
      </c>
      <c r="BF27" s="26">
        <v>2252.739148770976</v>
      </c>
      <c r="BG27" s="26">
        <v>1956.905917109762</v>
      </c>
      <c r="BH27" s="26">
        <v>4079.8684188996108</v>
      </c>
      <c r="BI27" s="26">
        <v>6424.3408875391306</v>
      </c>
      <c r="BJ27" s="26">
        <v>10572.947493286089</v>
      </c>
      <c r="BK27" s="26">
        <v>4435.3082113017281</v>
      </c>
      <c r="BL27" s="26">
        <v>2911.56913652602</v>
      </c>
      <c r="BM27" s="26">
        <v>2335.7202734903449</v>
      </c>
      <c r="BN27" s="26">
        <v>1785.4400879861826</v>
      </c>
      <c r="BO27" s="26">
        <v>2401.8866477894408</v>
      </c>
      <c r="BP27" s="26">
        <v>1780.4048908270686</v>
      </c>
      <c r="BQ27" s="26">
        <v>795.29344357545017</v>
      </c>
      <c r="BR27" s="26">
        <v>670.5512993320267</v>
      </c>
      <c r="BS27" s="26">
        <v>2594.3550103317743</v>
      </c>
      <c r="BT27" s="26">
        <v>30.071857901765913</v>
      </c>
      <c r="BU27" s="10"/>
      <c r="BV27" s="26">
        <v>14704.970333977646</v>
      </c>
      <c r="BW27" s="26">
        <v>772.010346299052</v>
      </c>
      <c r="BX27" s="26">
        <v>2253.1996362943273</v>
      </c>
      <c r="BY27" s="26">
        <v>1489.3975005922675</v>
      </c>
      <c r="BZ27" s="26">
        <v>1529.6967877556133</v>
      </c>
      <c r="CA27" s="26">
        <v>4275.9263773580551</v>
      </c>
      <c r="CB27" s="26">
        <v>3392.1154989216475</v>
      </c>
      <c r="CC27" s="26">
        <v>4524.0091594264813</v>
      </c>
      <c r="CD27" s="26">
        <v>2004.4971014279022</v>
      </c>
      <c r="CE27" s="26">
        <v>33.489684776060216</v>
      </c>
      <c r="CF27" s="26">
        <v>33.398182905087381</v>
      </c>
      <c r="CG27" s="26">
        <v>33.398182905087381</v>
      </c>
      <c r="CH27" s="26">
        <v>33.398182905087381</v>
      </c>
      <c r="CI27" s="26">
        <v>3672.2621381511108</v>
      </c>
      <c r="CJ27" s="26">
        <v>7.8966303300782997E-5</v>
      </c>
      <c r="CK27" s="26">
        <v>7.898792605634182E-5</v>
      </c>
      <c r="CL27" s="10"/>
      <c r="CM27" s="26">
        <v>-2.9943500000000007E-3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0</v>
      </c>
      <c r="DB27" s="26">
        <v>0</v>
      </c>
      <c r="DC27" s="10"/>
      <c r="DD27" s="26">
        <v>186.15061093313324</v>
      </c>
      <c r="DE27" s="26">
        <v>53.20540217700259</v>
      </c>
      <c r="DF27" s="26">
        <v>8.7766491892616898</v>
      </c>
      <c r="DG27" s="26">
        <v>15.296644795202431</v>
      </c>
      <c r="DH27" s="26">
        <v>17.547217900563989</v>
      </c>
      <c r="DI27" s="26">
        <v>79.776180644738957</v>
      </c>
      <c r="DJ27" s="26">
        <v>131.82033366884704</v>
      </c>
      <c r="DK27" s="26">
        <v>34.129326517363012</v>
      </c>
      <c r="DL27" s="26">
        <v>34.041711057250041</v>
      </c>
      <c r="DM27" s="26">
        <v>10.774589014393444</v>
      </c>
      <c r="DN27" s="26">
        <v>9.050455287345549E-3</v>
      </c>
      <c r="DO27" s="26">
        <v>38.364673654129277</v>
      </c>
      <c r="DP27" s="26">
        <v>9.902453285232389E-16</v>
      </c>
      <c r="DQ27" s="26">
        <v>9.902453285232389E-16</v>
      </c>
      <c r="DR27" s="26">
        <v>9.9105922879325766E-15</v>
      </c>
      <c r="DS27" s="26">
        <v>9.9078792870325109E-15</v>
      </c>
      <c r="DT27" s="10"/>
      <c r="DU27" s="26">
        <v>127.23519166231375</v>
      </c>
      <c r="DV27" s="26">
        <v>6.3165112835485955</v>
      </c>
      <c r="DW27" s="26">
        <v>6.6336177884985732</v>
      </c>
      <c r="DX27" s="26">
        <v>18.129908323814501</v>
      </c>
      <c r="DY27" s="26">
        <v>33.373580639705551</v>
      </c>
      <c r="DZ27" s="26">
        <v>163.85182381659533</v>
      </c>
      <c r="EA27" s="26">
        <v>180.07883266892722</v>
      </c>
      <c r="EB27" s="26">
        <v>198.89669312012899</v>
      </c>
      <c r="EC27" s="26">
        <v>55.058290428300126</v>
      </c>
      <c r="ED27" s="26">
        <v>35.140765542367873</v>
      </c>
      <c r="EE27" s="26">
        <v>35.140765542367873</v>
      </c>
      <c r="EF27" s="26">
        <v>881.48356446343519</v>
      </c>
      <c r="EG27" s="26">
        <v>151.48904808240491</v>
      </c>
      <c r="EH27" s="26">
        <v>119.14014225683296</v>
      </c>
      <c r="EI27" s="26">
        <v>1875.237916329218</v>
      </c>
      <c r="EJ27" s="26">
        <v>0</v>
      </c>
      <c r="EK27" s="10"/>
      <c r="EL27" s="26">
        <v>1.0743055555555554</v>
      </c>
      <c r="EM27" s="26">
        <v>2.2281122222222214</v>
      </c>
      <c r="EN27" s="26">
        <v>2.8630208333333331</v>
      </c>
      <c r="EO27" s="26">
        <v>172.85603850833331</v>
      </c>
      <c r="EP27" s="26">
        <v>46.584119172222209</v>
      </c>
      <c r="EQ27" s="26">
        <v>709.29905731388885</v>
      </c>
      <c r="ER27" s="26">
        <v>187.19958249999999</v>
      </c>
      <c r="ES27" s="26">
        <v>33.990033666666662</v>
      </c>
      <c r="ET27" s="26">
        <v>33.897164722222215</v>
      </c>
      <c r="EU27" s="26">
        <v>178.39924805555557</v>
      </c>
      <c r="EV27" s="26">
        <v>411.9679980555556</v>
      </c>
      <c r="EW27" s="26">
        <v>0.94836699999999985</v>
      </c>
      <c r="EX27" s="26">
        <v>0.94577583333333326</v>
      </c>
      <c r="EY27" s="26">
        <v>0.94577583333333326</v>
      </c>
      <c r="EZ27" s="26">
        <v>15.945775833333334</v>
      </c>
      <c r="FA27" s="26">
        <v>0</v>
      </c>
      <c r="FB27" s="10"/>
      <c r="FC27" s="26">
        <v>0</v>
      </c>
      <c r="FD27" s="26">
        <v>0</v>
      </c>
      <c r="FE27" s="26">
        <v>0</v>
      </c>
      <c r="FF27" s="26">
        <v>0</v>
      </c>
      <c r="FG27" s="26">
        <v>0</v>
      </c>
      <c r="FH27" s="26">
        <v>0</v>
      </c>
      <c r="FI27" s="26">
        <v>0</v>
      </c>
      <c r="FJ27" s="26">
        <v>0</v>
      </c>
      <c r="FK27" s="26">
        <v>0</v>
      </c>
      <c r="FL27" s="26">
        <v>0</v>
      </c>
      <c r="FM27" s="26">
        <v>0</v>
      </c>
      <c r="FN27" s="26">
        <v>0</v>
      </c>
      <c r="FO27" s="26">
        <v>0</v>
      </c>
      <c r="FP27" s="26">
        <v>0</v>
      </c>
      <c r="FQ27" s="26">
        <v>0</v>
      </c>
      <c r="FR27" s="26">
        <v>0</v>
      </c>
      <c r="FS27" s="10"/>
      <c r="FT27" s="26">
        <v>2.6404802666666667</v>
      </c>
      <c r="FU27" s="26">
        <v>3.1243096499999989</v>
      </c>
      <c r="FV27" s="26">
        <v>0</v>
      </c>
      <c r="FW27" s="26">
        <v>5.7938061833333325</v>
      </c>
      <c r="FX27" s="26">
        <v>11.427700170833333</v>
      </c>
      <c r="FY27" s="26">
        <v>22.986296270833332</v>
      </c>
      <c r="FZ27" s="26">
        <v>22.986296270833332</v>
      </c>
      <c r="GA27" s="26">
        <v>23.049272424999998</v>
      </c>
      <c r="GB27" s="26">
        <v>428.78925628749994</v>
      </c>
      <c r="GC27" s="26">
        <v>0</v>
      </c>
      <c r="GD27" s="26">
        <v>0</v>
      </c>
      <c r="GE27" s="26">
        <v>0</v>
      </c>
      <c r="GF27" s="26">
        <v>0</v>
      </c>
      <c r="GG27" s="26">
        <v>0</v>
      </c>
      <c r="GH27" s="26">
        <v>0</v>
      </c>
      <c r="GI27" s="26">
        <v>0</v>
      </c>
      <c r="GJ27" s="10"/>
      <c r="GK27" s="26">
        <v>10290.74876320122</v>
      </c>
      <c r="GL27" s="26">
        <v>3987.556648451352</v>
      </c>
      <c r="GM27" s="26">
        <v>2159.4760290288896</v>
      </c>
      <c r="GN27" s="26">
        <v>4826.7994863690265</v>
      </c>
      <c r="GO27" s="26">
        <v>8107.1042640133101</v>
      </c>
      <c r="GP27" s="26">
        <v>11467.312118482081</v>
      </c>
      <c r="GQ27" s="26">
        <v>4449.8863979042699</v>
      </c>
      <c r="GR27" s="26">
        <v>2926.0781724058329</v>
      </c>
      <c r="GS27" s="26">
        <v>4091.1429831388614</v>
      </c>
      <c r="GT27" s="26">
        <v>1799.712888788094</v>
      </c>
      <c r="GU27" s="26">
        <v>2415.1379938163968</v>
      </c>
      <c r="GV27" s="26">
        <v>1869.7198732288346</v>
      </c>
      <c r="GW27" s="26">
        <v>808.43094878272848</v>
      </c>
      <c r="GX27" s="26">
        <v>675.90629957781164</v>
      </c>
      <c r="GY27" s="26">
        <v>2625.8039048513965</v>
      </c>
      <c r="GZ27" s="26">
        <v>355.20610247445666</v>
      </c>
      <c r="HA27" s="2"/>
      <c r="HB27" s="26">
        <v>15019.427447778649</v>
      </c>
      <c r="HC27" s="26">
        <v>833.76037198182541</v>
      </c>
      <c r="HD27" s="26">
        <v>2271.472924105421</v>
      </c>
      <c r="HE27" s="26">
        <v>1695.6800922196178</v>
      </c>
      <c r="HF27" s="26">
        <v>1627.201705468105</v>
      </c>
      <c r="HG27" s="26">
        <v>5228.8534391332778</v>
      </c>
      <c r="HH27" s="26">
        <v>3891.2142477594216</v>
      </c>
      <c r="HI27" s="26">
        <v>4791.0252127306403</v>
      </c>
      <c r="HJ27" s="26">
        <v>2127.494267635675</v>
      </c>
      <c r="HK27" s="26">
        <v>257.80428738837713</v>
      </c>
      <c r="HL27" s="26">
        <v>480.51599695829816</v>
      </c>
      <c r="HM27" s="26">
        <v>954.19478802265178</v>
      </c>
      <c r="HN27" s="26">
        <v>185.8330068208256</v>
      </c>
      <c r="HO27" s="26">
        <v>3792.3480562412769</v>
      </c>
      <c r="HP27" s="26">
        <v>1891.1837711288547</v>
      </c>
      <c r="HQ27" s="26">
        <v>7.8987926066249694E-5</v>
      </c>
      <c r="HR27" s="2"/>
      <c r="HS27" s="2"/>
      <c r="HT27" s="2"/>
      <c r="HV27" s="21" t="b">
        <f t="shared" si="81"/>
        <v>1</v>
      </c>
      <c r="HW27" s="21" t="b">
        <f t="shared" si="82"/>
        <v>1</v>
      </c>
      <c r="HX27" s="21" t="b">
        <f t="shared" si="83"/>
        <v>1</v>
      </c>
      <c r="HY27" s="21" t="b">
        <f t="shared" si="84"/>
        <v>1</v>
      </c>
      <c r="HZ27" s="21" t="b">
        <f t="shared" si="85"/>
        <v>1</v>
      </c>
      <c r="IA27" s="21" t="b">
        <f t="shared" si="86"/>
        <v>1</v>
      </c>
      <c r="IB27" s="21" t="b">
        <f t="shared" si="87"/>
        <v>1</v>
      </c>
      <c r="IC27" s="21" t="b">
        <f t="shared" si="88"/>
        <v>1</v>
      </c>
      <c r="ID27" s="21" t="b">
        <f t="shared" si="89"/>
        <v>1</v>
      </c>
      <c r="IE27" s="21" t="b">
        <f t="shared" si="90"/>
        <v>1</v>
      </c>
      <c r="IF27" s="21" t="b">
        <f t="shared" si="91"/>
        <v>1</v>
      </c>
      <c r="IG27" s="21" t="b">
        <f t="shared" si="92"/>
        <v>1</v>
      </c>
      <c r="IH27" s="21" t="b">
        <f t="shared" si="93"/>
        <v>1</v>
      </c>
      <c r="II27" s="21" t="b">
        <f t="shared" si="94"/>
        <v>1</v>
      </c>
      <c r="IJ27" s="21" t="b">
        <f t="shared" si="95"/>
        <v>1</v>
      </c>
      <c r="IK27" s="21" t="b">
        <f t="shared" si="96"/>
        <v>1</v>
      </c>
      <c r="IM27" s="21" t="b">
        <f t="shared" si="97"/>
        <v>1</v>
      </c>
      <c r="IN27" s="21" t="b">
        <f t="shared" si="98"/>
        <v>1</v>
      </c>
      <c r="IO27" s="21" t="b">
        <f t="shared" si="99"/>
        <v>1</v>
      </c>
      <c r="IP27" s="21" t="b">
        <f t="shared" si="100"/>
        <v>1</v>
      </c>
      <c r="IQ27" s="21" t="b">
        <f t="shared" si="101"/>
        <v>1</v>
      </c>
      <c r="IR27" s="21" t="b">
        <f t="shared" si="102"/>
        <v>1</v>
      </c>
      <c r="IS27" s="21" t="b">
        <f t="shared" si="103"/>
        <v>1</v>
      </c>
      <c r="IT27" s="21" t="b">
        <f t="shared" si="104"/>
        <v>1</v>
      </c>
      <c r="IU27" s="21" t="b">
        <f t="shared" si="105"/>
        <v>1</v>
      </c>
      <c r="IV27" s="21" t="b">
        <f t="shared" si="106"/>
        <v>1</v>
      </c>
      <c r="IW27" s="21" t="b">
        <f t="shared" si="107"/>
        <v>1</v>
      </c>
      <c r="IX27" s="21" t="b">
        <f t="shared" si="108"/>
        <v>1</v>
      </c>
      <c r="IY27" s="21" t="b">
        <f t="shared" si="109"/>
        <v>1</v>
      </c>
      <c r="IZ27" s="21" t="b">
        <f t="shared" si="110"/>
        <v>1</v>
      </c>
      <c r="JA27" s="21" t="b">
        <f t="shared" si="111"/>
        <v>1</v>
      </c>
      <c r="JB27" s="21" t="b">
        <f t="shared" si="112"/>
        <v>1</v>
      </c>
    </row>
    <row r="28" spans="1:272" x14ac:dyDescent="0.25">
      <c r="A28" t="s">
        <v>71</v>
      </c>
      <c r="B28" s="2">
        <v>42643</v>
      </c>
      <c r="C28" s="22"/>
      <c r="D28" s="18"/>
      <c r="E28" s="11"/>
      <c r="F28" s="26">
        <v>2248.9312622684979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0"/>
      <c r="W28" s="26">
        <v>229.7064385302732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10"/>
      <c r="AN28" s="26">
        <v>778.38948266527257</v>
      </c>
      <c r="AO28" s="26">
        <v>575.35470757670578</v>
      </c>
      <c r="AP28" s="26">
        <v>231.33144196211026</v>
      </c>
      <c r="AQ28" s="26">
        <v>994.85956225536404</v>
      </c>
      <c r="AR28" s="26">
        <v>3490.3167073293639</v>
      </c>
      <c r="AS28" s="26">
        <v>242.12937564792566</v>
      </c>
      <c r="AT28" s="26">
        <v>17.084989111449978</v>
      </c>
      <c r="AU28" s="26">
        <v>1756.6312865544612</v>
      </c>
      <c r="AV28" s="26">
        <v>16.066932180122617</v>
      </c>
      <c r="AW28" s="26">
        <v>14.428536949028999</v>
      </c>
      <c r="AX28" s="26">
        <v>91.098032395147229</v>
      </c>
      <c r="AY28" s="26">
        <v>14.226578419023815</v>
      </c>
      <c r="AZ28" s="26">
        <v>8.4380607432796833</v>
      </c>
      <c r="BA28" s="26">
        <v>5.1202141692251644</v>
      </c>
      <c r="BB28" s="26">
        <v>34.287387169388317</v>
      </c>
      <c r="BC28" s="26">
        <v>326.44336216431486</v>
      </c>
      <c r="BD28" s="10"/>
      <c r="BE28" s="26">
        <v>3433.4940940435736</v>
      </c>
      <c r="BF28" s="26">
        <v>2403.9464040330117</v>
      </c>
      <c r="BG28" s="26">
        <v>2377.9826261757894</v>
      </c>
      <c r="BH28" s="26">
        <v>4095.5671424305356</v>
      </c>
      <c r="BI28" s="26">
        <v>9634.8645869682005</v>
      </c>
      <c r="BJ28" s="26">
        <v>9775.9858351220955</v>
      </c>
      <c r="BK28" s="26">
        <v>5183.7132449636429</v>
      </c>
      <c r="BL28" s="26">
        <v>3036.3321722826963</v>
      </c>
      <c r="BM28" s="26">
        <v>2484.5153298241717</v>
      </c>
      <c r="BN28" s="26">
        <v>1996.2625669609215</v>
      </c>
      <c r="BO28" s="26">
        <v>2407.8014103782111</v>
      </c>
      <c r="BP28" s="26">
        <v>1753.9742577225602</v>
      </c>
      <c r="BQ28" s="26">
        <v>815.96588844417897</v>
      </c>
      <c r="BR28" s="26">
        <v>679.90118597442506</v>
      </c>
      <c r="BS28" s="26">
        <v>2579.842929383406</v>
      </c>
      <c r="BT28" s="26">
        <v>23.718540673468155</v>
      </c>
      <c r="BU28" s="10"/>
      <c r="BV28" s="26">
        <v>14957.531189389103</v>
      </c>
      <c r="BW28" s="26">
        <v>1010.4118758994041</v>
      </c>
      <c r="BX28" s="26">
        <v>2256.9858221703921</v>
      </c>
      <c r="BY28" s="26">
        <v>1483.960775153284</v>
      </c>
      <c r="BZ28" s="26">
        <v>1366.8458032149258</v>
      </c>
      <c r="CA28" s="26">
        <v>4365.1557992067901</v>
      </c>
      <c r="CB28" s="26">
        <v>3452.0914325038293</v>
      </c>
      <c r="CC28" s="26">
        <v>4620.3983185547822</v>
      </c>
      <c r="CD28" s="26">
        <v>2029.5771599549253</v>
      </c>
      <c r="CE28" s="26">
        <v>31.042801562466401</v>
      </c>
      <c r="CF28" s="26">
        <v>30.957985164754746</v>
      </c>
      <c r="CG28" s="26">
        <v>30.957985164754746</v>
      </c>
      <c r="CH28" s="26">
        <v>30.957985164754746</v>
      </c>
      <c r="CI28" s="26">
        <v>3592.471610728815</v>
      </c>
      <c r="CJ28" s="26">
        <v>7.1828538683910132E-5</v>
      </c>
      <c r="CK28" s="26">
        <v>7.184820695846761E-5</v>
      </c>
      <c r="CL28" s="10"/>
      <c r="CM28" s="26">
        <v>-2.9943500000000007E-3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10"/>
      <c r="DD28" s="26">
        <v>137.91822349838509</v>
      </c>
      <c r="DE28" s="26">
        <v>51.923400437133992</v>
      </c>
      <c r="DF28" s="26">
        <v>8.0718860389910319</v>
      </c>
      <c r="DG28" s="26">
        <v>13.229077427567985</v>
      </c>
      <c r="DH28" s="26">
        <v>75.509953744721997</v>
      </c>
      <c r="DI28" s="26">
        <v>146.36450895412653</v>
      </c>
      <c r="DJ28" s="26">
        <v>62.706888451304394</v>
      </c>
      <c r="DK28" s="26">
        <v>56.809461866965457</v>
      </c>
      <c r="DL28" s="26">
        <v>25.015679577634408</v>
      </c>
      <c r="DM28" s="26">
        <v>21.638773442288119</v>
      </c>
      <c r="DN28" s="26">
        <v>9.050455287345549E-3</v>
      </c>
      <c r="DO28" s="26">
        <v>38.362392443481511</v>
      </c>
      <c r="DP28" s="26">
        <v>9.902453285232389E-16</v>
      </c>
      <c r="DQ28" s="26">
        <v>9.902453285232389E-16</v>
      </c>
      <c r="DR28" s="26">
        <v>9.910592287932575E-15</v>
      </c>
      <c r="DS28" s="26">
        <v>9.9078792870325109E-15</v>
      </c>
      <c r="DT28" s="10"/>
      <c r="DU28" s="26">
        <v>53.428122799650041</v>
      </c>
      <c r="DV28" s="26">
        <v>7.288046830075003</v>
      </c>
      <c r="DW28" s="26">
        <v>8.1803426599686109</v>
      </c>
      <c r="DX28" s="26">
        <v>19.771264012185135</v>
      </c>
      <c r="DY28" s="26">
        <v>133.75411084241995</v>
      </c>
      <c r="DZ28" s="26">
        <v>198.04798307273296</v>
      </c>
      <c r="EA28" s="26">
        <v>216.86229840624605</v>
      </c>
      <c r="EB28" s="26">
        <v>90.905443707744695</v>
      </c>
      <c r="EC28" s="26">
        <v>69.836023405395608</v>
      </c>
      <c r="ED28" s="26">
        <v>43.846092866282355</v>
      </c>
      <c r="EE28" s="26">
        <v>43.846092866282355</v>
      </c>
      <c r="EF28" s="26">
        <v>923.40572349126171</v>
      </c>
      <c r="EG28" s="26">
        <v>148.45239270615969</v>
      </c>
      <c r="EH28" s="26">
        <v>156.79165224385139</v>
      </c>
      <c r="EI28" s="26">
        <v>1963.6635527364331</v>
      </c>
      <c r="EJ28" s="26">
        <v>0</v>
      </c>
      <c r="EK28" s="10"/>
      <c r="EL28" s="26">
        <v>24.292125577777774</v>
      </c>
      <c r="EM28" s="26">
        <v>140.20388688888889</v>
      </c>
      <c r="EN28" s="26">
        <v>8.3600260416666661</v>
      </c>
      <c r="EO28" s="26">
        <v>6.1150045833333317</v>
      </c>
      <c r="EP28" s="26">
        <v>46.634553199999992</v>
      </c>
      <c r="EQ28" s="26">
        <v>856.43603648055557</v>
      </c>
      <c r="ER28" s="26">
        <v>33.897164722222215</v>
      </c>
      <c r="ES28" s="26">
        <v>33.990033666666662</v>
      </c>
      <c r="ET28" s="26">
        <v>33.897164722222215</v>
      </c>
      <c r="EU28" s="26">
        <v>178.39924805555557</v>
      </c>
      <c r="EV28" s="26">
        <v>411.9679980555556</v>
      </c>
      <c r="EW28" s="26">
        <v>0.94836699999999985</v>
      </c>
      <c r="EX28" s="26">
        <v>0.94577583333333326</v>
      </c>
      <c r="EY28" s="26">
        <v>0.94577583333333326</v>
      </c>
      <c r="EZ28" s="26">
        <v>15.945775833333334</v>
      </c>
      <c r="FA28" s="26">
        <v>0</v>
      </c>
      <c r="FB28" s="10"/>
      <c r="FC28" s="26">
        <v>0</v>
      </c>
      <c r="FD28" s="26">
        <v>0</v>
      </c>
      <c r="FE28" s="26">
        <v>0</v>
      </c>
      <c r="FF28" s="26">
        <v>0</v>
      </c>
      <c r="FG28" s="26">
        <v>0</v>
      </c>
      <c r="FH28" s="26">
        <v>0</v>
      </c>
      <c r="FI28" s="26">
        <v>0</v>
      </c>
      <c r="FJ28" s="26">
        <v>0</v>
      </c>
      <c r="FK28" s="26">
        <v>0</v>
      </c>
      <c r="FL28" s="26">
        <v>0</v>
      </c>
      <c r="FM28" s="26">
        <v>0</v>
      </c>
      <c r="FN28" s="26">
        <v>0</v>
      </c>
      <c r="FO28" s="26">
        <v>0</v>
      </c>
      <c r="FP28" s="26">
        <v>0</v>
      </c>
      <c r="FQ28" s="26">
        <v>0</v>
      </c>
      <c r="FR28" s="26">
        <v>0</v>
      </c>
      <c r="FS28" s="10"/>
      <c r="FT28" s="26">
        <v>2.6694965333333331</v>
      </c>
      <c r="FU28" s="26">
        <v>3.1243096499999989</v>
      </c>
      <c r="FV28" s="26">
        <v>0</v>
      </c>
      <c r="FW28" s="26">
        <v>5.7938061833333325</v>
      </c>
      <c r="FX28" s="26">
        <v>11.398683904166667</v>
      </c>
      <c r="FY28" s="26">
        <v>22.986296270833328</v>
      </c>
      <c r="FZ28" s="26">
        <v>22.986296270833328</v>
      </c>
      <c r="GA28" s="26">
        <v>446.07373879583326</v>
      </c>
      <c r="GB28" s="26">
        <v>0</v>
      </c>
      <c r="GC28" s="26">
        <v>0</v>
      </c>
      <c r="GD28" s="26">
        <v>0</v>
      </c>
      <c r="GE28" s="26">
        <v>0</v>
      </c>
      <c r="GF28" s="26">
        <v>0</v>
      </c>
      <c r="GG28" s="26">
        <v>0</v>
      </c>
      <c r="GH28" s="26">
        <v>0</v>
      </c>
      <c r="GI28" s="26">
        <v>0</v>
      </c>
      <c r="GJ28" s="10"/>
      <c r="GK28" s="26">
        <v>6690.5212775076179</v>
      </c>
      <c r="GL28" s="26">
        <v>2979.3011116097177</v>
      </c>
      <c r="GM28" s="26">
        <v>2609.3140681378995</v>
      </c>
      <c r="GN28" s="26">
        <v>5090.4267046858995</v>
      </c>
      <c r="GO28" s="26">
        <v>13125.181294297565</v>
      </c>
      <c r="GP28" s="26">
        <v>10018.115210770022</v>
      </c>
      <c r="GQ28" s="26">
        <v>5200.7982340750932</v>
      </c>
      <c r="GR28" s="26">
        <v>4792.9634588371573</v>
      </c>
      <c r="GS28" s="26">
        <v>2500.5822620042941</v>
      </c>
      <c r="GT28" s="26">
        <v>2010.6911039099505</v>
      </c>
      <c r="GU28" s="26">
        <v>2498.8994427733583</v>
      </c>
      <c r="GV28" s="26">
        <v>1768.200836141584</v>
      </c>
      <c r="GW28" s="26">
        <v>824.40394918745869</v>
      </c>
      <c r="GX28" s="26">
        <v>685.02140014365023</v>
      </c>
      <c r="GY28" s="26">
        <v>2614.1303165527943</v>
      </c>
      <c r="GZ28" s="26">
        <v>350.16190283778303</v>
      </c>
      <c r="HA28" s="2"/>
      <c r="HB28" s="26">
        <v>15173.166666914918</v>
      </c>
      <c r="HC28" s="26">
        <v>1209.8272100555021</v>
      </c>
      <c r="HD28" s="26">
        <v>2281.5980769110183</v>
      </c>
      <c r="HE28" s="26">
        <v>1523.0761211763704</v>
      </c>
      <c r="HF28" s="26">
        <v>1622.7444210020678</v>
      </c>
      <c r="HG28" s="26">
        <v>5566.0043277142049</v>
      </c>
      <c r="HH28" s="26">
        <v>3765.5577840836022</v>
      </c>
      <c r="HI28" s="26">
        <v>4802.1032577961596</v>
      </c>
      <c r="HJ28" s="26">
        <v>2158.3260276601777</v>
      </c>
      <c r="HK28" s="26">
        <v>274.92691592659241</v>
      </c>
      <c r="HL28" s="26">
        <v>486.78112654188004</v>
      </c>
      <c r="HM28" s="26">
        <v>993.67446809949797</v>
      </c>
      <c r="HN28" s="26">
        <v>180.35615370424776</v>
      </c>
      <c r="HO28" s="26">
        <v>3750.2090388059996</v>
      </c>
      <c r="HP28" s="26">
        <v>1979.6094003983051</v>
      </c>
      <c r="HQ28" s="26">
        <v>7.1848206968375483E-5</v>
      </c>
      <c r="HR28" s="2"/>
      <c r="HS28" s="2"/>
      <c r="HT28" s="2"/>
      <c r="HV28" s="21" t="b">
        <f t="shared" si="81"/>
        <v>1</v>
      </c>
      <c r="HW28" s="21" t="b">
        <f t="shared" si="82"/>
        <v>1</v>
      </c>
      <c r="HX28" s="21" t="b">
        <f t="shared" si="83"/>
        <v>1</v>
      </c>
      <c r="HY28" s="21" t="b">
        <f t="shared" si="84"/>
        <v>1</v>
      </c>
      <c r="HZ28" s="21" t="b">
        <f t="shared" si="85"/>
        <v>1</v>
      </c>
      <c r="IA28" s="21" t="b">
        <f t="shared" si="86"/>
        <v>1</v>
      </c>
      <c r="IB28" s="21" t="b">
        <f t="shared" si="87"/>
        <v>1</v>
      </c>
      <c r="IC28" s="21" t="b">
        <f t="shared" si="88"/>
        <v>1</v>
      </c>
      <c r="ID28" s="21" t="b">
        <f t="shared" si="89"/>
        <v>1</v>
      </c>
      <c r="IE28" s="21" t="b">
        <f t="shared" si="90"/>
        <v>1</v>
      </c>
      <c r="IF28" s="21" t="b">
        <f t="shared" si="91"/>
        <v>1</v>
      </c>
      <c r="IG28" s="21" t="b">
        <f t="shared" si="92"/>
        <v>1</v>
      </c>
      <c r="IH28" s="21" t="b">
        <f t="shared" si="93"/>
        <v>1</v>
      </c>
      <c r="II28" s="21" t="b">
        <f t="shared" si="94"/>
        <v>1</v>
      </c>
      <c r="IJ28" s="21" t="b">
        <f t="shared" si="95"/>
        <v>1</v>
      </c>
      <c r="IK28" s="21" t="b">
        <f t="shared" si="96"/>
        <v>1</v>
      </c>
      <c r="IM28" s="21" t="b">
        <f t="shared" si="97"/>
        <v>1</v>
      </c>
      <c r="IN28" s="21" t="b">
        <f t="shared" si="98"/>
        <v>1</v>
      </c>
      <c r="IO28" s="21" t="b">
        <f t="shared" si="99"/>
        <v>1</v>
      </c>
      <c r="IP28" s="21" t="b">
        <f t="shared" si="100"/>
        <v>1</v>
      </c>
      <c r="IQ28" s="21" t="b">
        <f t="shared" si="101"/>
        <v>1</v>
      </c>
      <c r="IR28" s="21" t="b">
        <f t="shared" si="102"/>
        <v>1</v>
      </c>
      <c r="IS28" s="21" t="b">
        <f t="shared" si="103"/>
        <v>1</v>
      </c>
      <c r="IT28" s="21" t="b">
        <f t="shared" si="104"/>
        <v>1</v>
      </c>
      <c r="IU28" s="21" t="b">
        <f t="shared" si="105"/>
        <v>1</v>
      </c>
      <c r="IV28" s="21" t="b">
        <f t="shared" si="106"/>
        <v>1</v>
      </c>
      <c r="IW28" s="21" t="b">
        <f t="shared" si="107"/>
        <v>1</v>
      </c>
      <c r="IX28" s="21" t="b">
        <f t="shared" si="108"/>
        <v>1</v>
      </c>
      <c r="IY28" s="21" t="b">
        <f t="shared" si="109"/>
        <v>1</v>
      </c>
      <c r="IZ28" s="21" t="b">
        <f t="shared" si="110"/>
        <v>1</v>
      </c>
      <c r="JA28" s="21" t="b">
        <f t="shared" si="111"/>
        <v>1</v>
      </c>
      <c r="JB28" s="21" t="b">
        <f t="shared" si="112"/>
        <v>1</v>
      </c>
    </row>
    <row r="29" spans="1:272" x14ac:dyDescent="0.25">
      <c r="A29" t="s">
        <v>72</v>
      </c>
      <c r="B29" s="2">
        <v>42735</v>
      </c>
      <c r="C29" s="22"/>
      <c r="D29" s="18"/>
      <c r="E29" s="11"/>
      <c r="F29" s="26">
        <v>2460.3158991144201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0"/>
      <c r="W29" s="26">
        <v>229.74482168833333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10"/>
      <c r="AN29" s="26">
        <v>870.53089356035184</v>
      </c>
      <c r="AO29" s="26">
        <v>558.62264373565813</v>
      </c>
      <c r="AP29" s="26">
        <v>421.25556872855645</v>
      </c>
      <c r="AQ29" s="26">
        <v>1620.9127061176682</v>
      </c>
      <c r="AR29" s="26">
        <v>2888.4373811081523</v>
      </c>
      <c r="AS29" s="26">
        <v>139.87289819196781</v>
      </c>
      <c r="AT29" s="26">
        <v>17.785894593535414</v>
      </c>
      <c r="AU29" s="26">
        <v>1757.9674246160207</v>
      </c>
      <c r="AV29" s="26">
        <v>16.781294340145838</v>
      </c>
      <c r="AW29" s="26">
        <v>15.72948450794711</v>
      </c>
      <c r="AX29" s="26">
        <v>91.703932267266339</v>
      </c>
      <c r="AY29" s="26">
        <v>15.606753395462698</v>
      </c>
      <c r="AZ29" s="26">
        <v>10.671491654009081</v>
      </c>
      <c r="BA29" s="26">
        <v>4.7351918799612038</v>
      </c>
      <c r="BB29" s="26">
        <v>36.361386053606509</v>
      </c>
      <c r="BC29" s="26">
        <v>327.3275864795018</v>
      </c>
      <c r="BD29" s="10"/>
      <c r="BE29" s="26">
        <v>3499.6817986711662</v>
      </c>
      <c r="BF29" s="26">
        <v>2503.8432858109595</v>
      </c>
      <c r="BG29" s="26">
        <v>1958.7503899304309</v>
      </c>
      <c r="BH29" s="26">
        <v>5511.752870694183</v>
      </c>
      <c r="BI29" s="26">
        <v>8985.3966243332015</v>
      </c>
      <c r="BJ29" s="26">
        <v>10260.869583417798</v>
      </c>
      <c r="BK29" s="26">
        <v>5415.0588327593614</v>
      </c>
      <c r="BL29" s="26">
        <v>3148.3419607088808</v>
      </c>
      <c r="BM29" s="26">
        <v>2536.3864445642566</v>
      </c>
      <c r="BN29" s="26">
        <v>2277.7151498421563</v>
      </c>
      <c r="BO29" s="26">
        <v>2419.7278480016857</v>
      </c>
      <c r="BP29" s="26">
        <v>1736.4220693560019</v>
      </c>
      <c r="BQ29" s="26">
        <v>838.70501460388584</v>
      </c>
      <c r="BR29" s="26">
        <v>685.31980871401254</v>
      </c>
      <c r="BS29" s="26">
        <v>2564.7953675284921</v>
      </c>
      <c r="BT29" s="26">
        <v>18.130584390406554</v>
      </c>
      <c r="BU29" s="10"/>
      <c r="BV29" s="26">
        <v>15383.344623162204</v>
      </c>
      <c r="BW29" s="26">
        <v>1029.3926715380144</v>
      </c>
      <c r="BX29" s="26">
        <v>2395.2122199571804</v>
      </c>
      <c r="BY29" s="26">
        <v>1623.7158376749633</v>
      </c>
      <c r="BZ29" s="26">
        <v>1495.8665947637746</v>
      </c>
      <c r="CA29" s="26">
        <v>4588.4531323578176</v>
      </c>
      <c r="CB29" s="26">
        <v>3601.7855723290568</v>
      </c>
      <c r="CC29" s="26">
        <v>4803.1524863635668</v>
      </c>
      <c r="CD29" s="26">
        <v>2141.7276868173749</v>
      </c>
      <c r="CE29" s="26">
        <v>36.030221818439529</v>
      </c>
      <c r="CF29" s="26">
        <v>35.931778589427402</v>
      </c>
      <c r="CG29" s="26">
        <v>35.931778589427402</v>
      </c>
      <c r="CH29" s="26">
        <v>35.931778589427402</v>
      </c>
      <c r="CI29" s="26">
        <v>3920.3691896295309</v>
      </c>
      <c r="CJ29" s="26">
        <v>8.5230698109722925E-5</v>
      </c>
      <c r="CK29" s="26">
        <v>8.5254036197923857E-5</v>
      </c>
      <c r="CL29" s="10"/>
      <c r="CM29" s="26">
        <v>-2.9943500000000007E-3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0</v>
      </c>
      <c r="DB29" s="26">
        <v>0</v>
      </c>
      <c r="DC29" s="10"/>
      <c r="DD29" s="26">
        <v>136.03800552699221</v>
      </c>
      <c r="DE29" s="26">
        <v>52.236666132157012</v>
      </c>
      <c r="DF29" s="26">
        <v>4.2786972607593281</v>
      </c>
      <c r="DG29" s="26">
        <v>13.647563930746166</v>
      </c>
      <c r="DH29" s="26">
        <v>81.531164003808215</v>
      </c>
      <c r="DI29" s="26">
        <v>156.89785772949912</v>
      </c>
      <c r="DJ29" s="26">
        <v>60.340606089485497</v>
      </c>
      <c r="DK29" s="26">
        <v>68.673815158479968</v>
      </c>
      <c r="DL29" s="26">
        <v>19.764208570555624</v>
      </c>
      <c r="DM29" s="26">
        <v>24.108607142983804</v>
      </c>
      <c r="DN29" s="26">
        <v>9.050455287345549E-3</v>
      </c>
      <c r="DO29" s="26">
        <v>38.360111232833738</v>
      </c>
      <c r="DP29" s="26">
        <v>9.902453285232389E-16</v>
      </c>
      <c r="DQ29" s="26">
        <v>9.902453285232389E-16</v>
      </c>
      <c r="DR29" s="26">
        <v>9.910592287932575E-15</v>
      </c>
      <c r="DS29" s="26">
        <v>9.9078792870325109E-15</v>
      </c>
      <c r="DT29" s="10"/>
      <c r="DU29" s="26">
        <v>53.786743992350971</v>
      </c>
      <c r="DV29" s="26">
        <v>7.699483059248732</v>
      </c>
      <c r="DW29" s="26">
        <v>7.0471303983204594</v>
      </c>
      <c r="DX29" s="26">
        <v>24.580176163826248</v>
      </c>
      <c r="DY29" s="26">
        <v>139.53098994063043</v>
      </c>
      <c r="DZ29" s="26">
        <v>209.71904186412328</v>
      </c>
      <c r="EA29" s="26">
        <v>228.70582781784864</v>
      </c>
      <c r="EB29" s="26">
        <v>96.407209836085244</v>
      </c>
      <c r="EC29" s="26">
        <v>76.518921639466441</v>
      </c>
      <c r="ED29" s="26">
        <v>49.19967838859214</v>
      </c>
      <c r="EE29" s="26">
        <v>49.19967838859214</v>
      </c>
      <c r="EF29" s="26">
        <v>958.3586122111368</v>
      </c>
      <c r="EG29" s="26">
        <v>150.85878748803262</v>
      </c>
      <c r="EH29" s="26">
        <v>164.15698307628273</v>
      </c>
      <c r="EI29" s="26">
        <v>2015.0918235988188</v>
      </c>
      <c r="EJ29" s="26">
        <v>0</v>
      </c>
      <c r="EK29" s="10"/>
      <c r="EL29" s="26">
        <v>1.086111111111111</v>
      </c>
      <c r="EM29" s="26">
        <v>2.2281122222222214</v>
      </c>
      <c r="EN29" s="26">
        <v>2.80078125</v>
      </c>
      <c r="EO29" s="26">
        <v>40.469114588888893</v>
      </c>
      <c r="EP29" s="26">
        <v>530.233032675</v>
      </c>
      <c r="EQ29" s="26">
        <v>349.39556430555552</v>
      </c>
      <c r="ER29" s="26">
        <v>33.897164722222215</v>
      </c>
      <c r="ES29" s="26">
        <v>33.990033666666662</v>
      </c>
      <c r="ET29" s="26">
        <v>183.89716472222221</v>
      </c>
      <c r="EU29" s="26">
        <v>422.87112305555559</v>
      </c>
      <c r="EV29" s="26">
        <v>0.94577583333333326</v>
      </c>
      <c r="EW29" s="26">
        <v>0.94836699999999985</v>
      </c>
      <c r="EX29" s="26">
        <v>0.94577583333333326</v>
      </c>
      <c r="EY29" s="26">
        <v>0.94577583333333326</v>
      </c>
      <c r="EZ29" s="26">
        <v>15.469001166666665</v>
      </c>
      <c r="FA29" s="26">
        <v>0</v>
      </c>
      <c r="FB29" s="10"/>
      <c r="FC29" s="26">
        <v>0</v>
      </c>
      <c r="FD29" s="26">
        <v>0</v>
      </c>
      <c r="FE29" s="26">
        <v>0</v>
      </c>
      <c r="FF29" s="26">
        <v>0</v>
      </c>
      <c r="FG29" s="26">
        <v>0</v>
      </c>
      <c r="FH29" s="26">
        <v>0</v>
      </c>
      <c r="FI29" s="26">
        <v>0</v>
      </c>
      <c r="FJ29" s="26">
        <v>0</v>
      </c>
      <c r="FK29" s="26">
        <v>0</v>
      </c>
      <c r="FL29" s="26">
        <v>0</v>
      </c>
      <c r="FM29" s="26">
        <v>0</v>
      </c>
      <c r="FN29" s="26">
        <v>0</v>
      </c>
      <c r="FO29" s="26">
        <v>0</v>
      </c>
      <c r="FP29" s="26">
        <v>0</v>
      </c>
      <c r="FQ29" s="26">
        <v>0</v>
      </c>
      <c r="FR29" s="26">
        <v>0</v>
      </c>
      <c r="FS29" s="10"/>
      <c r="FT29" s="26">
        <v>2.6694965333333331</v>
      </c>
      <c r="FU29" s="26">
        <v>3.1243096499999989</v>
      </c>
      <c r="FV29" s="26">
        <v>0</v>
      </c>
      <c r="FW29" s="26">
        <v>5.6338939874999996</v>
      </c>
      <c r="FX29" s="26">
        <v>11.558596099999997</v>
      </c>
      <c r="FY29" s="26">
        <v>22.986296270833328</v>
      </c>
      <c r="FZ29" s="26">
        <v>22.986296270833328</v>
      </c>
      <c r="GA29" s="26">
        <v>440.27993261250003</v>
      </c>
      <c r="GB29" s="26">
        <v>0</v>
      </c>
      <c r="GC29" s="26">
        <v>0</v>
      </c>
      <c r="GD29" s="26">
        <v>0</v>
      </c>
      <c r="GE29" s="26">
        <v>0</v>
      </c>
      <c r="GF29" s="26">
        <v>0</v>
      </c>
      <c r="GG29" s="26">
        <v>0</v>
      </c>
      <c r="GH29" s="26">
        <v>0</v>
      </c>
      <c r="GI29" s="26">
        <v>0</v>
      </c>
      <c r="GJ29" s="10"/>
      <c r="GK29" s="26">
        <v>7060.2734130342706</v>
      </c>
      <c r="GL29" s="26">
        <v>3062.4659295466176</v>
      </c>
      <c r="GM29" s="26">
        <v>2380.0059586589873</v>
      </c>
      <c r="GN29" s="26">
        <v>7132.6655768118508</v>
      </c>
      <c r="GO29" s="26">
        <v>11873.834005441353</v>
      </c>
      <c r="GP29" s="26">
        <v>10400.742481609766</v>
      </c>
      <c r="GQ29" s="26">
        <v>5432.8447273528964</v>
      </c>
      <c r="GR29" s="26">
        <v>4906.3093853249011</v>
      </c>
      <c r="GS29" s="26">
        <v>2553.1677389044025</v>
      </c>
      <c r="GT29" s="26">
        <v>2293.4446343501036</v>
      </c>
      <c r="GU29" s="26">
        <v>2511.431780268952</v>
      </c>
      <c r="GV29" s="26">
        <v>1752.0288227514645</v>
      </c>
      <c r="GW29" s="26">
        <v>849.3765062578949</v>
      </c>
      <c r="GX29" s="26">
        <v>690.05500059397377</v>
      </c>
      <c r="GY29" s="26">
        <v>2601.1567535820986</v>
      </c>
      <c r="GZ29" s="26">
        <v>345.45817086990837</v>
      </c>
      <c r="HB29" s="26">
        <v>15574.252489442659</v>
      </c>
      <c r="HC29" s="26">
        <v>1091.5569329516425</v>
      </c>
      <c r="HD29" s="26">
        <v>2409.33882886626</v>
      </c>
      <c r="HE29" s="26">
        <v>1702.4126923584247</v>
      </c>
      <c r="HF29" s="26">
        <v>2247.1617813832136</v>
      </c>
      <c r="HG29" s="26">
        <v>5304.465596256995</v>
      </c>
      <c r="HH29" s="26">
        <v>3924.7291709586134</v>
      </c>
      <c r="HI29" s="26">
        <v>5002.2235450247981</v>
      </c>
      <c r="HJ29" s="26">
        <v>2421.9079817496195</v>
      </c>
      <c r="HK29" s="26">
        <v>532.20963040557103</v>
      </c>
      <c r="HL29" s="26">
        <v>86.086283266640208</v>
      </c>
      <c r="HM29" s="26">
        <v>1033.5988690333979</v>
      </c>
      <c r="HN29" s="26">
        <v>187.73634191079336</v>
      </c>
      <c r="HO29" s="26">
        <v>4085.471948539147</v>
      </c>
      <c r="HP29" s="26">
        <v>2030.5609099961837</v>
      </c>
      <c r="HQ29" s="26">
        <v>8.525403620783173E-5</v>
      </c>
      <c r="HV29" s="21" t="b">
        <f t="shared" si="81"/>
        <v>1</v>
      </c>
      <c r="HW29" s="21" t="b">
        <f t="shared" si="82"/>
        <v>1</v>
      </c>
      <c r="HX29" s="21" t="b">
        <f t="shared" si="83"/>
        <v>1</v>
      </c>
      <c r="HY29" s="21" t="b">
        <f t="shared" si="84"/>
        <v>1</v>
      </c>
      <c r="HZ29" s="21" t="b">
        <f t="shared" si="85"/>
        <v>1</v>
      </c>
      <c r="IA29" s="21" t="b">
        <f t="shared" si="86"/>
        <v>1</v>
      </c>
      <c r="IB29" s="21" t="b">
        <f t="shared" si="87"/>
        <v>1</v>
      </c>
      <c r="IC29" s="21" t="b">
        <f t="shared" si="88"/>
        <v>1</v>
      </c>
      <c r="ID29" s="21" t="b">
        <f t="shared" si="89"/>
        <v>1</v>
      </c>
      <c r="IE29" s="21" t="b">
        <f t="shared" si="90"/>
        <v>1</v>
      </c>
      <c r="IF29" s="21" t="b">
        <f t="shared" si="91"/>
        <v>1</v>
      </c>
      <c r="IG29" s="21" t="b">
        <f t="shared" si="92"/>
        <v>1</v>
      </c>
      <c r="IH29" s="21" t="b">
        <f t="shared" si="93"/>
        <v>1</v>
      </c>
      <c r="II29" s="21" t="b">
        <f t="shared" si="94"/>
        <v>1</v>
      </c>
      <c r="IJ29" s="21" t="b">
        <f t="shared" si="95"/>
        <v>1</v>
      </c>
      <c r="IK29" s="21" t="b">
        <f t="shared" si="96"/>
        <v>1</v>
      </c>
      <c r="IM29" s="21" t="b">
        <f t="shared" si="97"/>
        <v>1</v>
      </c>
      <c r="IN29" s="21" t="b">
        <f t="shared" si="98"/>
        <v>1</v>
      </c>
      <c r="IO29" s="21" t="b">
        <f t="shared" si="99"/>
        <v>1</v>
      </c>
      <c r="IP29" s="21" t="b">
        <f t="shared" si="100"/>
        <v>1</v>
      </c>
      <c r="IQ29" s="21" t="b">
        <f t="shared" si="101"/>
        <v>1</v>
      </c>
      <c r="IR29" s="21" t="b">
        <f t="shared" si="102"/>
        <v>1</v>
      </c>
      <c r="IS29" s="21" t="b">
        <f t="shared" si="103"/>
        <v>1</v>
      </c>
      <c r="IT29" s="21" t="b">
        <f t="shared" si="104"/>
        <v>1</v>
      </c>
      <c r="IU29" s="21" t="b">
        <f t="shared" si="105"/>
        <v>1</v>
      </c>
      <c r="IV29" s="21" t="b">
        <f t="shared" si="106"/>
        <v>1</v>
      </c>
      <c r="IW29" s="21" t="b">
        <f t="shared" si="107"/>
        <v>1</v>
      </c>
      <c r="IX29" s="21" t="b">
        <f t="shared" si="108"/>
        <v>1</v>
      </c>
      <c r="IY29" s="21" t="b">
        <f t="shared" si="109"/>
        <v>1</v>
      </c>
      <c r="IZ29" s="21" t="b">
        <f t="shared" si="110"/>
        <v>1</v>
      </c>
      <c r="JA29" s="21" t="b">
        <f t="shared" si="111"/>
        <v>1</v>
      </c>
      <c r="JB29" s="21" t="b">
        <f t="shared" si="112"/>
        <v>1</v>
      </c>
    </row>
    <row r="30" spans="1:272" x14ac:dyDescent="0.25">
      <c r="A30" t="s">
        <v>73</v>
      </c>
      <c r="B30" s="2">
        <v>42825</v>
      </c>
      <c r="C30" s="22"/>
      <c r="D30" s="18"/>
      <c r="E30" s="11"/>
      <c r="F30" s="26">
        <v>2486.4586991658798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0"/>
      <c r="W30" s="26">
        <v>229.78128182874426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10"/>
      <c r="AN30" s="26">
        <v>1004.1889105539213</v>
      </c>
      <c r="AO30" s="26">
        <v>994.16178723628195</v>
      </c>
      <c r="AP30" s="26">
        <v>438.38385149640789</v>
      </c>
      <c r="AQ30" s="26">
        <v>2810.850471547858</v>
      </c>
      <c r="AR30" s="26">
        <v>1349.3259045987252</v>
      </c>
      <c r="AS30" s="26">
        <v>18.548181412696501</v>
      </c>
      <c r="AT30" s="26">
        <v>-31.635728177986614</v>
      </c>
      <c r="AU30" s="26">
        <v>1758.9464595711365</v>
      </c>
      <c r="AV30" s="26">
        <v>17.885189520429847</v>
      </c>
      <c r="AW30" s="26">
        <v>16.695299964623015</v>
      </c>
      <c r="AX30" s="26">
        <v>92.825954099494908</v>
      </c>
      <c r="AY30" s="26">
        <v>16.540588458928397</v>
      </c>
      <c r="AZ30" s="26">
        <v>10.465253959020448</v>
      </c>
      <c r="BA30" s="26">
        <v>4.7211952940985444</v>
      </c>
      <c r="BB30" s="26">
        <v>38.505066649763755</v>
      </c>
      <c r="BC30" s="26">
        <v>328.29473297196216</v>
      </c>
      <c r="BD30" s="10"/>
      <c r="BE30" s="26">
        <v>3507.9520682036191</v>
      </c>
      <c r="BF30" s="26">
        <v>2850.5697547226291</v>
      </c>
      <c r="BG30" s="26">
        <v>3043.9831761159362</v>
      </c>
      <c r="BH30" s="26">
        <v>6792.0950804028535</v>
      </c>
      <c r="BI30" s="26">
        <v>6808.5351644902139</v>
      </c>
      <c r="BJ30" s="26">
        <v>10613.777473267062</v>
      </c>
      <c r="BK30" s="26">
        <v>5625.0471740467619</v>
      </c>
      <c r="BL30" s="26">
        <v>3214.2736735128883</v>
      </c>
      <c r="BM30" s="26">
        <v>2612.2842198741823</v>
      </c>
      <c r="BN30" s="26">
        <v>2644.973030896856</v>
      </c>
      <c r="BO30" s="26">
        <v>2311.675503555321</v>
      </c>
      <c r="BP30" s="26">
        <v>1739.5506424650305</v>
      </c>
      <c r="BQ30" s="26">
        <v>857.28205230645267</v>
      </c>
      <c r="BR30" s="26">
        <v>684.54704813818262</v>
      </c>
      <c r="BS30" s="26">
        <v>2527.3541618207041</v>
      </c>
      <c r="BT30" s="26">
        <v>13.188306332962565</v>
      </c>
      <c r="BU30" s="10"/>
      <c r="BV30" s="26">
        <v>15682.072343523241</v>
      </c>
      <c r="BW30" s="26">
        <v>1046.9278101325356</v>
      </c>
      <c r="BX30" s="26">
        <v>2405.2453987820431</v>
      </c>
      <c r="BY30" s="26">
        <v>1394.3964684156992</v>
      </c>
      <c r="BZ30" s="26">
        <v>1682.6517571417189</v>
      </c>
      <c r="CA30" s="26">
        <v>4617.492039316794</v>
      </c>
      <c r="CB30" s="26">
        <v>3653.5426920336354</v>
      </c>
      <c r="CC30" s="26">
        <v>4897.647900217321</v>
      </c>
      <c r="CD30" s="26">
        <v>2153.527287155639</v>
      </c>
      <c r="CE30" s="26">
        <v>31.428128707418701</v>
      </c>
      <c r="CF30" s="26">
        <v>31.34225950330007</v>
      </c>
      <c r="CG30" s="26">
        <v>31.34225950330007</v>
      </c>
      <c r="CH30" s="26">
        <v>31.34225950330007</v>
      </c>
      <c r="CI30" s="26">
        <v>3732.0741640556134</v>
      </c>
      <c r="CJ30" s="26">
        <v>7.2081001027702219E-5</v>
      </c>
      <c r="CK30" s="26">
        <v>7.210073843214573E-5</v>
      </c>
      <c r="CL30" s="10"/>
      <c r="CM30" s="26">
        <v>-2.9943500000000007E-3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0</v>
      </c>
      <c r="DB30" s="26">
        <v>0</v>
      </c>
      <c r="DC30" s="10"/>
      <c r="DD30" s="26">
        <v>136.16438760183416</v>
      </c>
      <c r="DE30" s="26">
        <v>52.389910740506181</v>
      </c>
      <c r="DF30" s="26">
        <v>6.7342802686899272</v>
      </c>
      <c r="DG30" s="26">
        <v>67.750342930180636</v>
      </c>
      <c r="DH30" s="26">
        <v>29.82525136152907</v>
      </c>
      <c r="DI30" s="26">
        <v>163.57561551710913</v>
      </c>
      <c r="DJ30" s="26">
        <v>60.728056768232861</v>
      </c>
      <c r="DK30" s="26">
        <v>75.693530380133041</v>
      </c>
      <c r="DL30" s="26">
        <v>17.606399644823746</v>
      </c>
      <c r="DM30" s="26">
        <v>25.363300645024431</v>
      </c>
      <c r="DN30" s="26">
        <v>9.0752510552560856E-3</v>
      </c>
      <c r="DO30" s="26">
        <v>38.357854817953879</v>
      </c>
      <c r="DP30" s="26">
        <v>9.902453285232389E-16</v>
      </c>
      <c r="DQ30" s="26">
        <v>9.902453285232389E-16</v>
      </c>
      <c r="DR30" s="26">
        <v>9.910592287932575E-15</v>
      </c>
      <c r="DS30" s="26">
        <v>9.9078792870325109E-15</v>
      </c>
      <c r="DT30" s="10"/>
      <c r="DU30" s="26">
        <v>54.055745362854637</v>
      </c>
      <c r="DV30" s="26">
        <v>7.8320701131479424</v>
      </c>
      <c r="DW30" s="26">
        <v>10.601911975327361</v>
      </c>
      <c r="DX30" s="26">
        <v>115.83621321008016</v>
      </c>
      <c r="DY30" s="26">
        <v>52.113172582240921</v>
      </c>
      <c r="DZ30" s="26">
        <v>217.56531925129551</v>
      </c>
      <c r="EA30" s="26">
        <v>236.822928006084</v>
      </c>
      <c r="EB30" s="26">
        <v>99.86029684424399</v>
      </c>
      <c r="EC30" s="26">
        <v>78.366746974673887</v>
      </c>
      <c r="ED30" s="26">
        <v>52.849022414880572</v>
      </c>
      <c r="EE30" s="26">
        <v>52.993814257113129</v>
      </c>
      <c r="EF30" s="26">
        <v>983.71680919646724</v>
      </c>
      <c r="EG30" s="26">
        <v>161.48447556315043</v>
      </c>
      <c r="EH30" s="26">
        <v>156.448508363217</v>
      </c>
      <c r="EI30" s="26">
        <v>2047.5477434721502</v>
      </c>
      <c r="EJ30" s="26">
        <v>0</v>
      </c>
      <c r="EK30" s="10"/>
      <c r="EL30" s="26">
        <v>24.141705644444439</v>
      </c>
      <c r="EM30" s="26">
        <v>7.9664714444444442</v>
      </c>
      <c r="EN30" s="26">
        <v>8.3609374999999986</v>
      </c>
      <c r="EO30" s="26">
        <v>6.1654386111111101</v>
      </c>
      <c r="EP30" s="26">
        <v>530.18259864722211</v>
      </c>
      <c r="EQ30" s="26">
        <v>343.28055972222216</v>
      </c>
      <c r="ER30" s="26">
        <v>33.897164722222215</v>
      </c>
      <c r="ES30" s="26">
        <v>33.990033666666662</v>
      </c>
      <c r="ET30" s="26">
        <v>183.89716472222221</v>
      </c>
      <c r="EU30" s="26">
        <v>422.87112305555559</v>
      </c>
      <c r="EV30" s="26">
        <v>0.94577583333333326</v>
      </c>
      <c r="EW30" s="26">
        <v>0.94836699999999985</v>
      </c>
      <c r="EX30" s="26">
        <v>0.94577583333333326</v>
      </c>
      <c r="EY30" s="26">
        <v>0.94577583333333326</v>
      </c>
      <c r="EZ30" s="26">
        <v>15.469001166666665</v>
      </c>
      <c r="FA30" s="26">
        <v>0</v>
      </c>
      <c r="FB30" s="10"/>
      <c r="FC30" s="26">
        <v>0</v>
      </c>
      <c r="FD30" s="26">
        <v>0</v>
      </c>
      <c r="FE30" s="26">
        <v>0</v>
      </c>
      <c r="FF30" s="26">
        <v>0</v>
      </c>
      <c r="FG30" s="26">
        <v>0</v>
      </c>
      <c r="FH30" s="26">
        <v>0</v>
      </c>
      <c r="FI30" s="26">
        <v>0</v>
      </c>
      <c r="FJ30" s="26">
        <v>0</v>
      </c>
      <c r="FK30" s="26">
        <v>0</v>
      </c>
      <c r="FL30" s="26">
        <v>0</v>
      </c>
      <c r="FM30" s="26">
        <v>0</v>
      </c>
      <c r="FN30" s="26">
        <v>0</v>
      </c>
      <c r="FO30" s="26">
        <v>0</v>
      </c>
      <c r="FP30" s="26">
        <v>0</v>
      </c>
      <c r="FQ30" s="26">
        <v>0</v>
      </c>
      <c r="FR30" s="26">
        <v>0</v>
      </c>
      <c r="FS30" s="10"/>
      <c r="FT30" s="26">
        <v>2.6114639999999998</v>
      </c>
      <c r="FU30" s="26">
        <v>3.0224299874999998</v>
      </c>
      <c r="FV30" s="26">
        <v>0</v>
      </c>
      <c r="FW30" s="26">
        <v>5.7647899166666656</v>
      </c>
      <c r="FX30" s="26">
        <v>11.587612366666665</v>
      </c>
      <c r="FY30" s="26">
        <v>22.986296270833328</v>
      </c>
      <c r="FZ30" s="26">
        <v>22.986296270833328</v>
      </c>
      <c r="GA30" s="26">
        <v>434.48612642916663</v>
      </c>
      <c r="GB30" s="26">
        <v>0</v>
      </c>
      <c r="GC30" s="26">
        <v>0</v>
      </c>
      <c r="GD30" s="26">
        <v>0</v>
      </c>
      <c r="GE30" s="26">
        <v>0</v>
      </c>
      <c r="GF30" s="26">
        <v>0</v>
      </c>
      <c r="GG30" s="26">
        <v>0</v>
      </c>
      <c r="GH30" s="26">
        <v>0</v>
      </c>
      <c r="GI30" s="26">
        <v>0</v>
      </c>
      <c r="GJ30" s="10"/>
      <c r="GK30" s="26">
        <v>7228.3809597521649</v>
      </c>
      <c r="GL30" s="26">
        <v>3844.7315419589113</v>
      </c>
      <c r="GM30" s="26">
        <v>3482.3670276123439</v>
      </c>
      <c r="GN30" s="26">
        <v>9602.9455519507119</v>
      </c>
      <c r="GO30" s="26">
        <v>8157.8610690889391</v>
      </c>
      <c r="GP30" s="26">
        <v>10632.325654679758</v>
      </c>
      <c r="GQ30" s="26">
        <v>5593.4114458687754</v>
      </c>
      <c r="GR30" s="26">
        <v>4973.2201330840253</v>
      </c>
      <c r="GS30" s="26">
        <v>2630.1694093946121</v>
      </c>
      <c r="GT30" s="26">
        <v>2661.6683308614788</v>
      </c>
      <c r="GU30" s="26">
        <v>2404.501457654816</v>
      </c>
      <c r="GV30" s="26">
        <v>1756.0912309239588</v>
      </c>
      <c r="GW30" s="26">
        <v>867.74730626547307</v>
      </c>
      <c r="GX30" s="26">
        <v>689.26824343228111</v>
      </c>
      <c r="GY30" s="26">
        <v>2565.8592284704678</v>
      </c>
      <c r="GZ30" s="26">
        <v>341.48303930492472</v>
      </c>
      <c r="HB30" s="26">
        <v>15896.431187782375</v>
      </c>
      <c r="HC30" s="26">
        <v>1115.1162624306342</v>
      </c>
      <c r="HD30" s="26">
        <v>2430.9425285260604</v>
      </c>
      <c r="HE30" s="26">
        <v>1584.1484631670712</v>
      </c>
      <c r="HF30" s="26">
        <v>2294.7727797327111</v>
      </c>
      <c r="HG30" s="26">
        <v>5341.9135338074211</v>
      </c>
      <c r="HH30" s="26">
        <v>3984.9908415301743</v>
      </c>
      <c r="HI30" s="26">
        <v>5107.1917611083645</v>
      </c>
      <c r="HJ30" s="26">
        <v>2433.3975984973586</v>
      </c>
      <c r="HK30" s="26">
        <v>532.51157482287931</v>
      </c>
      <c r="HL30" s="26">
        <v>85.290924844801793</v>
      </c>
      <c r="HM30" s="26">
        <v>1054.3652905177212</v>
      </c>
      <c r="HN30" s="26">
        <v>193.77251089978384</v>
      </c>
      <c r="HO30" s="26">
        <v>3889.4684482521639</v>
      </c>
      <c r="HP30" s="26">
        <v>2063.0168167198181</v>
      </c>
      <c r="HQ30" s="26">
        <v>7.2100738442053603E-5</v>
      </c>
      <c r="HV30" s="21" t="b">
        <f t="shared" si="81"/>
        <v>1</v>
      </c>
      <c r="HW30" s="21" t="b">
        <f t="shared" si="82"/>
        <v>1</v>
      </c>
      <c r="HX30" s="21" t="b">
        <f t="shared" si="83"/>
        <v>1</v>
      </c>
      <c r="HY30" s="21" t="b">
        <f t="shared" si="84"/>
        <v>1</v>
      </c>
      <c r="HZ30" s="21" t="b">
        <f t="shared" si="85"/>
        <v>1</v>
      </c>
      <c r="IA30" s="21" t="b">
        <f t="shared" si="86"/>
        <v>1</v>
      </c>
      <c r="IB30" s="21" t="b">
        <f t="shared" si="87"/>
        <v>1</v>
      </c>
      <c r="IC30" s="21" t="b">
        <f t="shared" si="88"/>
        <v>1</v>
      </c>
      <c r="ID30" s="21" t="b">
        <f t="shared" si="89"/>
        <v>1</v>
      </c>
      <c r="IE30" s="21" t="b">
        <f t="shared" si="90"/>
        <v>1</v>
      </c>
      <c r="IF30" s="21" t="b">
        <f t="shared" si="91"/>
        <v>1</v>
      </c>
      <c r="IG30" s="21" t="b">
        <f t="shared" si="92"/>
        <v>1</v>
      </c>
      <c r="IH30" s="21" t="b">
        <f t="shared" si="93"/>
        <v>1</v>
      </c>
      <c r="II30" s="21" t="b">
        <f t="shared" si="94"/>
        <v>1</v>
      </c>
      <c r="IJ30" s="21" t="b">
        <f t="shared" si="95"/>
        <v>1</v>
      </c>
      <c r="IK30" s="21" t="b">
        <f t="shared" si="96"/>
        <v>1</v>
      </c>
      <c r="IM30" s="21" t="b">
        <f t="shared" si="97"/>
        <v>1</v>
      </c>
      <c r="IN30" s="21" t="b">
        <f t="shared" si="98"/>
        <v>1</v>
      </c>
      <c r="IO30" s="21" t="b">
        <f t="shared" si="99"/>
        <v>1</v>
      </c>
      <c r="IP30" s="21" t="b">
        <f t="shared" si="100"/>
        <v>1</v>
      </c>
      <c r="IQ30" s="21" t="b">
        <f t="shared" si="101"/>
        <v>1</v>
      </c>
      <c r="IR30" s="21" t="b">
        <f t="shared" si="102"/>
        <v>1</v>
      </c>
      <c r="IS30" s="21" t="b">
        <f t="shared" si="103"/>
        <v>1</v>
      </c>
      <c r="IT30" s="21" t="b">
        <f t="shared" si="104"/>
        <v>1</v>
      </c>
      <c r="IU30" s="21" t="b">
        <f t="shared" si="105"/>
        <v>1</v>
      </c>
      <c r="IV30" s="21" t="b">
        <f t="shared" si="106"/>
        <v>1</v>
      </c>
      <c r="IW30" s="21" t="b">
        <f t="shared" si="107"/>
        <v>1</v>
      </c>
      <c r="IX30" s="21" t="b">
        <f t="shared" si="108"/>
        <v>1</v>
      </c>
      <c r="IY30" s="21" t="b">
        <f t="shared" si="109"/>
        <v>1</v>
      </c>
      <c r="IZ30" s="21" t="b">
        <f t="shared" si="110"/>
        <v>1</v>
      </c>
      <c r="JA30" s="21" t="b">
        <f t="shared" si="111"/>
        <v>1</v>
      </c>
      <c r="JB30" s="21" t="b">
        <f t="shared" si="112"/>
        <v>1</v>
      </c>
    </row>
    <row r="31" spans="1:272" x14ac:dyDescent="0.25">
      <c r="A31" t="s">
        <v>74</v>
      </c>
      <c r="B31" s="2">
        <v>42916</v>
      </c>
      <c r="C31" s="22"/>
      <c r="D31" s="18"/>
      <c r="E31" s="11"/>
      <c r="F31" s="26">
        <v>2690.9053744143998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0"/>
      <c r="W31" s="26">
        <v>229.78938843821916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10"/>
      <c r="AN31" s="26">
        <v>757.57375508452856</v>
      </c>
      <c r="AO31" s="26">
        <v>2463.2875425461334</v>
      </c>
      <c r="AP31" s="26">
        <v>362.88444370662006</v>
      </c>
      <c r="AQ31" s="26">
        <v>1068.1439325625449</v>
      </c>
      <c r="AR31" s="26">
        <v>2096.5174463923122</v>
      </c>
      <c r="AS31" s="26">
        <v>19.637406051971155</v>
      </c>
      <c r="AT31" s="26">
        <v>-81.451181175883107</v>
      </c>
      <c r="AU31" s="26">
        <v>1760.0237266073152</v>
      </c>
      <c r="AV31" s="26">
        <v>19.080507980849173</v>
      </c>
      <c r="AW31" s="26">
        <v>17.737869625928244</v>
      </c>
      <c r="AX31" s="26">
        <v>94.01920909243303</v>
      </c>
      <c r="AY31" s="26">
        <v>17.537513896284654</v>
      </c>
      <c r="AZ31" s="26">
        <v>10.056402853626624</v>
      </c>
      <c r="BA31" s="26">
        <v>4.7845704544550403</v>
      </c>
      <c r="BB31" s="26">
        <v>40.790388130076373</v>
      </c>
      <c r="BC31" s="26">
        <v>329.28984795823595</v>
      </c>
      <c r="BD31" s="10"/>
      <c r="BE31" s="26">
        <v>5868.8441551622491</v>
      </c>
      <c r="BF31" s="26">
        <v>2747.2010945008178</v>
      </c>
      <c r="BG31" s="26">
        <v>2254.242343241759</v>
      </c>
      <c r="BH31" s="26">
        <v>4984.9461289342698</v>
      </c>
      <c r="BI31" s="26">
        <v>8531.0584633040125</v>
      </c>
      <c r="BJ31" s="26">
        <v>10589.336114139749</v>
      </c>
      <c r="BK31" s="26">
        <v>5493.5315043018045</v>
      </c>
      <c r="BL31" s="26">
        <v>3342.0468401197231</v>
      </c>
      <c r="BM31" s="26">
        <v>2637.6722841393034</v>
      </c>
      <c r="BN31" s="26">
        <v>2914.9091772049032</v>
      </c>
      <c r="BO31" s="26">
        <v>2266.090081524284</v>
      </c>
      <c r="BP31" s="26">
        <v>1756.0741304351022</v>
      </c>
      <c r="BQ31" s="26">
        <v>868.72350313005177</v>
      </c>
      <c r="BR31" s="26">
        <v>688.41988055487002</v>
      </c>
      <c r="BS31" s="26">
        <v>2487.8767582969899</v>
      </c>
      <c r="BT31" s="26">
        <v>8.88681779781089</v>
      </c>
      <c r="BU31" s="10"/>
      <c r="BV31" s="26">
        <v>16188.429272811081</v>
      </c>
      <c r="BW31" s="26">
        <v>856.59801926795751</v>
      </c>
      <c r="BX31" s="26">
        <v>2521.6520356442434</v>
      </c>
      <c r="BY31" s="26">
        <v>1706.4155153894062</v>
      </c>
      <c r="BZ31" s="26">
        <v>1843.8489792876549</v>
      </c>
      <c r="CA31" s="26">
        <v>4845.7010222997578</v>
      </c>
      <c r="CB31" s="26">
        <v>3817.8553093850992</v>
      </c>
      <c r="CC31" s="26">
        <v>5102.6690161340375</v>
      </c>
      <c r="CD31" s="26">
        <v>2274.3473050817774</v>
      </c>
      <c r="CE31" s="26">
        <v>35.915541896098986</v>
      </c>
      <c r="CF31" s="26">
        <v>35.817412000208002</v>
      </c>
      <c r="CG31" s="26">
        <v>35.817412000208002</v>
      </c>
      <c r="CH31" s="26">
        <v>35.817412000208002</v>
      </c>
      <c r="CI31" s="26">
        <v>4044.2021444838674</v>
      </c>
      <c r="CJ31" s="26">
        <v>8.4027090966659973E-5</v>
      </c>
      <c r="CK31" s="26">
        <v>8.4050099480068168E-5</v>
      </c>
      <c r="CL31" s="10"/>
      <c r="CM31" s="26">
        <v>-2.9943500000000007E-3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10"/>
      <c r="DD31" s="26">
        <v>185.73845363773731</v>
      </c>
      <c r="DE31" s="26">
        <v>58.720253834056166</v>
      </c>
      <c r="DF31" s="26">
        <v>9.3594911218940666</v>
      </c>
      <c r="DG31" s="26">
        <v>19.260406743090133</v>
      </c>
      <c r="DH31" s="26">
        <v>35.021938587270625</v>
      </c>
      <c r="DI31" s="26">
        <v>166.67752171619517</v>
      </c>
      <c r="DJ31" s="26">
        <v>67.400663236838753</v>
      </c>
      <c r="DK31" s="26">
        <v>68.723234922418285</v>
      </c>
      <c r="DL31" s="26">
        <v>16.420290007096646</v>
      </c>
      <c r="DM31" s="26">
        <v>26.180130769798904</v>
      </c>
      <c r="DN31" s="26">
        <v>38.364673654129277</v>
      </c>
      <c r="DO31" s="26">
        <v>9.902453285232389E-16</v>
      </c>
      <c r="DP31" s="26">
        <v>9.902453285232389E-16</v>
      </c>
      <c r="DQ31" s="26">
        <v>9.902453285232389E-16</v>
      </c>
      <c r="DR31" s="26">
        <v>9.9105922879325766E-15</v>
      </c>
      <c r="DS31" s="26">
        <v>9.9078792870325109E-15</v>
      </c>
      <c r="DT31" s="10"/>
      <c r="DU31" s="26">
        <v>143.71742354907923</v>
      </c>
      <c r="DV31" s="26">
        <v>9.8624767948442713</v>
      </c>
      <c r="DW31" s="26">
        <v>10.231215032247633</v>
      </c>
      <c r="DX31" s="26">
        <v>28.818962315394444</v>
      </c>
      <c r="DY31" s="26">
        <v>57.889699683653014</v>
      </c>
      <c r="DZ31" s="26">
        <v>226.0651563796645</v>
      </c>
      <c r="EA31" s="26">
        <v>245.49893405815376</v>
      </c>
      <c r="EB31" s="26">
        <v>102.2495822962248</v>
      </c>
      <c r="EC31" s="26">
        <v>76.415177733843862</v>
      </c>
      <c r="ED31" s="26">
        <v>56.627509985201335</v>
      </c>
      <c r="EE31" s="26">
        <v>903.02917669926262</v>
      </c>
      <c r="EF31" s="26">
        <v>172.9757925252384</v>
      </c>
      <c r="EG31" s="26">
        <v>184.43261525061831</v>
      </c>
      <c r="EH31" s="26">
        <v>127.07171579441849</v>
      </c>
      <c r="EI31" s="26">
        <v>2080.7295284972033</v>
      </c>
      <c r="EJ31" s="26">
        <v>0</v>
      </c>
      <c r="EK31" s="10"/>
      <c r="EL31" s="26">
        <v>1.0743055555555554</v>
      </c>
      <c r="EM31" s="26">
        <v>2.2281122222222214</v>
      </c>
      <c r="EN31" s="26">
        <v>2.8630208333333331</v>
      </c>
      <c r="EO31" s="26">
        <v>524.06759406388892</v>
      </c>
      <c r="EP31" s="26">
        <v>179.06602463888888</v>
      </c>
      <c r="EQ31" s="26">
        <v>187.19958249999999</v>
      </c>
      <c r="ER31" s="26">
        <v>33.990033666666662</v>
      </c>
      <c r="ES31" s="26">
        <v>33.897164722222215</v>
      </c>
      <c r="ET31" s="26">
        <v>178.39924805555557</v>
      </c>
      <c r="EU31" s="26">
        <v>411.9679980555556</v>
      </c>
      <c r="EV31" s="26">
        <v>0.94836699999999985</v>
      </c>
      <c r="EW31" s="26">
        <v>0.94577583333333326</v>
      </c>
      <c r="EX31" s="26">
        <v>0.94577583333333326</v>
      </c>
      <c r="EY31" s="26">
        <v>15.945775833333334</v>
      </c>
      <c r="EZ31" s="26">
        <v>0</v>
      </c>
      <c r="FA31" s="26">
        <v>0</v>
      </c>
      <c r="FB31" s="10"/>
      <c r="FC31" s="26">
        <v>0</v>
      </c>
      <c r="FD31" s="26">
        <v>0</v>
      </c>
      <c r="FE31" s="26">
        <v>0</v>
      </c>
      <c r="FF31" s="26">
        <v>0</v>
      </c>
      <c r="FG31" s="26">
        <v>0</v>
      </c>
      <c r="FH31" s="26">
        <v>0</v>
      </c>
      <c r="FI31" s="26">
        <v>0</v>
      </c>
      <c r="FJ31" s="26">
        <v>0</v>
      </c>
      <c r="FK31" s="26">
        <v>0</v>
      </c>
      <c r="FL31" s="26">
        <v>0</v>
      </c>
      <c r="FM31" s="26">
        <v>0</v>
      </c>
      <c r="FN31" s="26">
        <v>0</v>
      </c>
      <c r="FO31" s="26">
        <v>0</v>
      </c>
      <c r="FP31" s="26">
        <v>0</v>
      </c>
      <c r="FQ31" s="26">
        <v>0</v>
      </c>
      <c r="FR31" s="26">
        <v>0</v>
      </c>
      <c r="FS31" s="10"/>
      <c r="FT31" s="26">
        <v>2.6404802666666667</v>
      </c>
      <c r="FU31" s="26">
        <v>3.1243096499999989</v>
      </c>
      <c r="FV31" s="26">
        <v>0</v>
      </c>
      <c r="FW31" s="26">
        <v>5.7938061833333325</v>
      </c>
      <c r="FX31" s="26">
        <v>11.427700170833333</v>
      </c>
      <c r="FY31" s="26">
        <v>22.986296270833332</v>
      </c>
      <c r="FZ31" s="26">
        <v>23.049272424999998</v>
      </c>
      <c r="GA31" s="26">
        <v>428.78925628749994</v>
      </c>
      <c r="GB31" s="26">
        <v>0</v>
      </c>
      <c r="GC31" s="26">
        <v>0</v>
      </c>
      <c r="GD31" s="26">
        <v>0</v>
      </c>
      <c r="GE31" s="26">
        <v>0</v>
      </c>
      <c r="GF31" s="26">
        <v>0</v>
      </c>
      <c r="GG31" s="26">
        <v>0</v>
      </c>
      <c r="GH31" s="26">
        <v>0</v>
      </c>
      <c r="GI31" s="26">
        <v>0</v>
      </c>
      <c r="GJ31" s="10"/>
      <c r="GK31" s="26">
        <v>9547.1126730993965</v>
      </c>
      <c r="GL31" s="26">
        <v>5210.4886370469512</v>
      </c>
      <c r="GM31" s="26">
        <v>2617.126786948379</v>
      </c>
      <c r="GN31" s="26">
        <v>6053.090061496815</v>
      </c>
      <c r="GO31" s="26">
        <v>10627.575909696325</v>
      </c>
      <c r="GP31" s="26">
        <v>10608.973520191721</v>
      </c>
      <c r="GQ31" s="26">
        <v>5412.0803231259215</v>
      </c>
      <c r="GR31" s="26">
        <v>5102.0705667270386</v>
      </c>
      <c r="GS31" s="26">
        <v>2656.7527921201527</v>
      </c>
      <c r="GT31" s="26">
        <v>2932.6470468308316</v>
      </c>
      <c r="GU31" s="26">
        <v>2360.1092906167169</v>
      </c>
      <c r="GV31" s="26">
        <v>1773.611644331387</v>
      </c>
      <c r="GW31" s="26">
        <v>878.77990598367842</v>
      </c>
      <c r="GX31" s="26">
        <v>693.20445100932511</v>
      </c>
      <c r="GY31" s="26">
        <v>2528.6671464270662</v>
      </c>
      <c r="GZ31" s="26">
        <v>338.17666575604682</v>
      </c>
      <c r="HB31" s="26">
        <v>16518.956461203452</v>
      </c>
      <c r="HC31" s="26">
        <v>927.40886211908014</v>
      </c>
      <c r="HD31" s="26">
        <v>2544.1057626317188</v>
      </c>
      <c r="HE31" s="26">
        <v>2278.5624785117798</v>
      </c>
      <c r="HF31" s="26">
        <v>2115.8266421974672</v>
      </c>
      <c r="HG31" s="26">
        <v>5425.6432828956176</v>
      </c>
      <c r="HH31" s="26">
        <v>4164.744940346759</v>
      </c>
      <c r="HI31" s="26">
        <v>5307.5389980749032</v>
      </c>
      <c r="HJ31" s="26">
        <v>2545.5820208782739</v>
      </c>
      <c r="HK31" s="26">
        <v>530.69118070665479</v>
      </c>
      <c r="HL31" s="26">
        <v>978.15962935359983</v>
      </c>
      <c r="HM31" s="26">
        <v>209.73898035877974</v>
      </c>
      <c r="HN31" s="26">
        <v>221.19580308415965</v>
      </c>
      <c r="HO31" s="26">
        <v>4187.2196361116194</v>
      </c>
      <c r="HP31" s="26">
        <v>2080.7296125242942</v>
      </c>
      <c r="HQ31" s="26">
        <v>8.4050099489976041E-5</v>
      </c>
      <c r="HV31" s="21" t="b">
        <f t="shared" si="81"/>
        <v>1</v>
      </c>
      <c r="HW31" s="21" t="b">
        <f t="shared" si="82"/>
        <v>1</v>
      </c>
      <c r="HX31" s="21" t="b">
        <f t="shared" si="83"/>
        <v>1</v>
      </c>
      <c r="HY31" s="21" t="b">
        <f t="shared" si="84"/>
        <v>1</v>
      </c>
      <c r="HZ31" s="21" t="b">
        <f t="shared" si="85"/>
        <v>1</v>
      </c>
      <c r="IA31" s="21" t="b">
        <f t="shared" si="86"/>
        <v>1</v>
      </c>
      <c r="IB31" s="21" t="b">
        <f t="shared" si="87"/>
        <v>1</v>
      </c>
      <c r="IC31" s="21" t="b">
        <f t="shared" si="88"/>
        <v>1</v>
      </c>
      <c r="ID31" s="21" t="b">
        <f t="shared" si="89"/>
        <v>1</v>
      </c>
      <c r="IE31" s="21" t="b">
        <f t="shared" si="90"/>
        <v>1</v>
      </c>
      <c r="IF31" s="21" t="b">
        <f t="shared" si="91"/>
        <v>1</v>
      </c>
      <c r="IG31" s="21" t="b">
        <f t="shared" si="92"/>
        <v>1</v>
      </c>
      <c r="IH31" s="21" t="b">
        <f t="shared" si="93"/>
        <v>1</v>
      </c>
      <c r="II31" s="21" t="b">
        <f t="shared" si="94"/>
        <v>1</v>
      </c>
      <c r="IJ31" s="21" t="b">
        <f t="shared" si="95"/>
        <v>1</v>
      </c>
      <c r="IK31" s="21" t="b">
        <f t="shared" si="96"/>
        <v>1</v>
      </c>
      <c r="IM31" s="21" t="b">
        <f t="shared" si="97"/>
        <v>1</v>
      </c>
      <c r="IN31" s="21" t="b">
        <f t="shared" si="98"/>
        <v>1</v>
      </c>
      <c r="IO31" s="21" t="b">
        <f t="shared" si="99"/>
        <v>1</v>
      </c>
      <c r="IP31" s="21" t="b">
        <f t="shared" si="100"/>
        <v>1</v>
      </c>
      <c r="IQ31" s="21" t="b">
        <f t="shared" si="101"/>
        <v>1</v>
      </c>
      <c r="IR31" s="21" t="b">
        <f t="shared" si="102"/>
        <v>1</v>
      </c>
      <c r="IS31" s="21" t="b">
        <f t="shared" si="103"/>
        <v>1</v>
      </c>
      <c r="IT31" s="21" t="b">
        <f t="shared" si="104"/>
        <v>1</v>
      </c>
      <c r="IU31" s="21" t="b">
        <f t="shared" si="105"/>
        <v>1</v>
      </c>
      <c r="IV31" s="21" t="b">
        <f t="shared" si="106"/>
        <v>1</v>
      </c>
      <c r="IW31" s="21" t="b">
        <f t="shared" si="107"/>
        <v>1</v>
      </c>
      <c r="IX31" s="21" t="b">
        <f t="shared" si="108"/>
        <v>1</v>
      </c>
      <c r="IY31" s="21" t="b">
        <f t="shared" si="109"/>
        <v>1</v>
      </c>
      <c r="IZ31" s="21" t="b">
        <f t="shared" si="110"/>
        <v>1</v>
      </c>
      <c r="JA31" s="21" t="b">
        <f t="shared" si="111"/>
        <v>1</v>
      </c>
      <c r="JB31" s="21" t="b">
        <f t="shared" si="112"/>
        <v>1</v>
      </c>
    </row>
    <row r="32" spans="1:272" x14ac:dyDescent="0.25">
      <c r="A32" t="s">
        <v>75</v>
      </c>
      <c r="B32" s="2">
        <v>43008</v>
      </c>
      <c r="C32" s="22"/>
      <c r="D32" s="18"/>
      <c r="E32" s="11"/>
      <c r="F32" s="26">
        <v>2757.9004202487918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0"/>
      <c r="W32" s="26">
        <v>229.82545653410961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10"/>
      <c r="AN32" s="26">
        <v>802.8861817735318</v>
      </c>
      <c r="AO32" s="26">
        <v>710.89470451707462</v>
      </c>
      <c r="AP32" s="26">
        <v>383.86816315865462</v>
      </c>
      <c r="AQ32" s="26">
        <v>1330.2310959024203</v>
      </c>
      <c r="AR32" s="26">
        <v>3433.1075631937397</v>
      </c>
      <c r="AS32" s="26">
        <v>22.478283179158769</v>
      </c>
      <c r="AT32" s="26">
        <v>1679.6458383027759</v>
      </c>
      <c r="AU32" s="26">
        <v>20.90771029512932</v>
      </c>
      <c r="AV32" s="26">
        <v>19.866520393665173</v>
      </c>
      <c r="AW32" s="26">
        <v>95.794255773233331</v>
      </c>
      <c r="AX32" s="26">
        <v>19.533819170176404</v>
      </c>
      <c r="AY32" s="26">
        <v>13.01886695883382</v>
      </c>
      <c r="AZ32" s="26">
        <v>10.528206319250961</v>
      </c>
      <c r="BA32" s="26">
        <v>4.9535133815022272</v>
      </c>
      <c r="BB32" s="26">
        <v>201.15006949042245</v>
      </c>
      <c r="BC32" s="26">
        <v>174.9824218463765</v>
      </c>
      <c r="BD32" s="10"/>
      <c r="BE32" s="26">
        <v>3729.3619522055897</v>
      </c>
      <c r="BF32" s="26">
        <v>3033.4912431033003</v>
      </c>
      <c r="BG32" s="26">
        <v>2459.8104177970395</v>
      </c>
      <c r="BH32" s="26">
        <v>4739.1398555806481</v>
      </c>
      <c r="BI32" s="26">
        <v>9320.183767499886</v>
      </c>
      <c r="BJ32" s="26">
        <v>11519.568126955561</v>
      </c>
      <c r="BK32" s="26">
        <v>5938.9003144714452</v>
      </c>
      <c r="BL32" s="26">
        <v>3503.6212990705299</v>
      </c>
      <c r="BM32" s="26">
        <v>2854.2463622631417</v>
      </c>
      <c r="BN32" s="26">
        <v>2924.0248458352553</v>
      </c>
      <c r="BO32" s="26">
        <v>2242.473632390785</v>
      </c>
      <c r="BP32" s="26">
        <v>1763.1402417176309</v>
      </c>
      <c r="BQ32" s="26">
        <v>876.531700505559</v>
      </c>
      <c r="BR32" s="26">
        <v>694.61541898609005</v>
      </c>
      <c r="BS32" s="26">
        <v>2447.5061781873842</v>
      </c>
      <c r="BT32" s="26">
        <v>5.0223605563817157</v>
      </c>
      <c r="BU32" s="10"/>
      <c r="BV32" s="26">
        <v>16530.142952214905</v>
      </c>
      <c r="BW32" s="26">
        <v>1104.9030179517592</v>
      </c>
      <c r="BX32" s="26">
        <v>2534.5663427106642</v>
      </c>
      <c r="BY32" s="26">
        <v>1708.8047340059018</v>
      </c>
      <c r="BZ32" s="26">
        <v>1665.1117757677225</v>
      </c>
      <c r="CA32" s="26">
        <v>4918.1938594482799</v>
      </c>
      <c r="CB32" s="26">
        <v>3897.3805822362365</v>
      </c>
      <c r="CC32" s="26">
        <v>5225.9313574527923</v>
      </c>
      <c r="CD32" s="26">
        <v>2311.7456017117811</v>
      </c>
      <c r="CE32" s="26">
        <v>33.140591369076738</v>
      </c>
      <c r="CF32" s="26">
        <v>33.050043305226801</v>
      </c>
      <c r="CG32" s="26">
        <v>33.050043305226801</v>
      </c>
      <c r="CH32" s="26">
        <v>33.050043305226801</v>
      </c>
      <c r="CI32" s="26">
        <v>3959.0158052828838</v>
      </c>
      <c r="CJ32" s="26">
        <v>7.589886434717105E-5</v>
      </c>
      <c r="CK32" s="26">
        <v>7.5919647168733821E-5</v>
      </c>
      <c r="CL32" s="10"/>
      <c r="CM32" s="26">
        <v>-2.9943500000000007E-3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10"/>
      <c r="DD32" s="26">
        <v>150.47477184317233</v>
      </c>
      <c r="DE32" s="26">
        <v>57.997864539095069</v>
      </c>
      <c r="DF32" s="26">
        <v>8.8287346452901669</v>
      </c>
      <c r="DG32" s="26">
        <v>17.52032687312677</v>
      </c>
      <c r="DH32" s="26">
        <v>147.59163211875475</v>
      </c>
      <c r="DI32" s="26">
        <v>96.761019413160369</v>
      </c>
      <c r="DJ32" s="26">
        <v>83.435084673514083</v>
      </c>
      <c r="DK32" s="26">
        <v>64.249102844402955</v>
      </c>
      <c r="DL32" s="26">
        <v>28.963069955313689</v>
      </c>
      <c r="DM32" s="26">
        <v>23.469072765385683</v>
      </c>
      <c r="DN32" s="26">
        <v>38.362392443481511</v>
      </c>
      <c r="DO32" s="26">
        <v>9.902453285232389E-16</v>
      </c>
      <c r="DP32" s="26">
        <v>9.902453285232389E-16</v>
      </c>
      <c r="DQ32" s="26">
        <v>9.902453285232389E-16</v>
      </c>
      <c r="DR32" s="26">
        <v>9.910592287932575E-15</v>
      </c>
      <c r="DS32" s="26">
        <v>9.9078792870325109E-15</v>
      </c>
      <c r="DT32" s="10"/>
      <c r="DU32" s="26">
        <v>56.744551097380828</v>
      </c>
      <c r="DV32" s="26">
        <v>10.72014825328481</v>
      </c>
      <c r="DW32" s="26">
        <v>11.594562708438351</v>
      </c>
      <c r="DX32" s="26">
        <v>29.750079124266488</v>
      </c>
      <c r="DY32" s="26">
        <v>173.65842503503947</v>
      </c>
      <c r="DZ32" s="26">
        <v>260.47407176313851</v>
      </c>
      <c r="EA32" s="26">
        <v>135.08261429279662</v>
      </c>
      <c r="EB32" s="26">
        <v>114.55675697567781</v>
      </c>
      <c r="EC32" s="26">
        <v>86.964005218822138</v>
      </c>
      <c r="ED32" s="26">
        <v>64.272526221484398</v>
      </c>
      <c r="EE32" s="26">
        <v>943.88811967757408</v>
      </c>
      <c r="EF32" s="26">
        <v>168.87882606136171</v>
      </c>
      <c r="EG32" s="26">
        <v>199.63462747363042</v>
      </c>
      <c r="EH32" s="26">
        <v>147.06474847905727</v>
      </c>
      <c r="EI32" s="26">
        <v>2154.7413573749341</v>
      </c>
      <c r="EJ32" s="26">
        <v>0</v>
      </c>
      <c r="EK32" s="10"/>
      <c r="EL32" s="26">
        <v>507.57212557777774</v>
      </c>
      <c r="EM32" s="26">
        <v>8.1354424444444415</v>
      </c>
      <c r="EN32" s="26">
        <v>8.3600260416666661</v>
      </c>
      <c r="EO32" s="26">
        <v>6.1150045833333317</v>
      </c>
      <c r="EP32" s="26">
        <v>326.25343783333329</v>
      </c>
      <c r="EQ32" s="26">
        <v>33.897164722222215</v>
      </c>
      <c r="ER32" s="26">
        <v>33.990033666666662</v>
      </c>
      <c r="ES32" s="26">
        <v>33.897164722222215</v>
      </c>
      <c r="ET32" s="26">
        <v>178.39924805555557</v>
      </c>
      <c r="EU32" s="26">
        <v>411.9679980555556</v>
      </c>
      <c r="EV32" s="26">
        <v>0.94836699999999985</v>
      </c>
      <c r="EW32" s="26">
        <v>0.94577583333333326</v>
      </c>
      <c r="EX32" s="26">
        <v>0.94577583333333326</v>
      </c>
      <c r="EY32" s="26">
        <v>15.945775833333334</v>
      </c>
      <c r="EZ32" s="26">
        <v>0</v>
      </c>
      <c r="FA32" s="26">
        <v>0</v>
      </c>
      <c r="FB32" s="10"/>
      <c r="FC32" s="26">
        <v>0</v>
      </c>
      <c r="FD32" s="26">
        <v>0</v>
      </c>
      <c r="FE32" s="26">
        <v>0</v>
      </c>
      <c r="FF32" s="26">
        <v>0</v>
      </c>
      <c r="FG32" s="26">
        <v>0</v>
      </c>
      <c r="FH32" s="26">
        <v>0</v>
      </c>
      <c r="FI32" s="26">
        <v>0</v>
      </c>
      <c r="FJ32" s="26">
        <v>0</v>
      </c>
      <c r="FK32" s="26">
        <v>0</v>
      </c>
      <c r="FL32" s="26">
        <v>0</v>
      </c>
      <c r="FM32" s="26">
        <v>0</v>
      </c>
      <c r="FN32" s="26">
        <v>0</v>
      </c>
      <c r="FO32" s="26">
        <v>0</v>
      </c>
      <c r="FP32" s="26">
        <v>0</v>
      </c>
      <c r="FQ32" s="26">
        <v>0</v>
      </c>
      <c r="FR32" s="26">
        <v>0</v>
      </c>
      <c r="FS32" s="10"/>
      <c r="FT32" s="26">
        <v>2.6694965333333331</v>
      </c>
      <c r="FU32" s="26">
        <v>3.1243096499999989</v>
      </c>
      <c r="FV32" s="26">
        <v>0</v>
      </c>
      <c r="FW32" s="26">
        <v>5.7938061833333325</v>
      </c>
      <c r="FX32" s="26">
        <v>11.398683904166667</v>
      </c>
      <c r="FY32" s="26">
        <v>22.986296270833328</v>
      </c>
      <c r="FZ32" s="26">
        <v>446.07373879583326</v>
      </c>
      <c r="GA32" s="26">
        <v>0</v>
      </c>
      <c r="GB32" s="26">
        <v>0</v>
      </c>
      <c r="GC32" s="26">
        <v>0</v>
      </c>
      <c r="GD32" s="26">
        <v>0</v>
      </c>
      <c r="GE32" s="26">
        <v>0</v>
      </c>
      <c r="GF32" s="26">
        <v>0</v>
      </c>
      <c r="GG32" s="26">
        <v>0</v>
      </c>
      <c r="GH32" s="26">
        <v>0</v>
      </c>
      <c r="GI32" s="26">
        <v>0</v>
      </c>
      <c r="GJ32" s="10"/>
      <c r="GK32" s="26">
        <v>7519.9740107620228</v>
      </c>
      <c r="GL32" s="26">
        <v>3744.3859476203752</v>
      </c>
      <c r="GM32" s="26">
        <v>2843.6785809556941</v>
      </c>
      <c r="GN32" s="26">
        <v>6069.370951483068</v>
      </c>
      <c r="GO32" s="26">
        <v>12753.291330693626</v>
      </c>
      <c r="GP32" s="26">
        <v>11542.046410134719</v>
      </c>
      <c r="GQ32" s="26">
        <v>7618.5461527742209</v>
      </c>
      <c r="GR32" s="26">
        <v>3524.529009365659</v>
      </c>
      <c r="GS32" s="26">
        <v>2874.112882656807</v>
      </c>
      <c r="GT32" s="26">
        <v>3019.8191016084888</v>
      </c>
      <c r="GU32" s="26">
        <v>2262.0074515609613</v>
      </c>
      <c r="GV32" s="26">
        <v>1776.1591086764647</v>
      </c>
      <c r="GW32" s="26">
        <v>887.05990682481001</v>
      </c>
      <c r="GX32" s="26">
        <v>699.56893236759231</v>
      </c>
      <c r="GY32" s="26">
        <v>2648.6562476778067</v>
      </c>
      <c r="GZ32" s="26">
        <v>180.00478240275822</v>
      </c>
      <c r="HB32" s="26">
        <v>17244.931406383235</v>
      </c>
      <c r="HC32" s="26">
        <v>1181.7564731885834</v>
      </c>
      <c r="HD32" s="26">
        <v>2563.3496661060594</v>
      </c>
      <c r="HE32" s="26">
        <v>1762.1901445866283</v>
      </c>
      <c r="HF32" s="26">
        <v>2312.6152707548499</v>
      </c>
      <c r="HG32" s="26">
        <v>5309.3261153468011</v>
      </c>
      <c r="HH32" s="26">
        <v>4149.8883148692139</v>
      </c>
      <c r="HI32" s="26">
        <v>5438.6343819950953</v>
      </c>
      <c r="HJ32" s="26">
        <v>2606.0719249414724</v>
      </c>
      <c r="HK32" s="26">
        <v>532.85018841150236</v>
      </c>
      <c r="HL32" s="26">
        <v>1016.2489224262823</v>
      </c>
      <c r="HM32" s="26">
        <v>202.87464519992184</v>
      </c>
      <c r="HN32" s="26">
        <v>233.63044661219055</v>
      </c>
      <c r="HO32" s="26">
        <v>4122.0263295952745</v>
      </c>
      <c r="HP32" s="26">
        <v>2154.7414332737985</v>
      </c>
      <c r="HQ32" s="26">
        <v>7.5919647178641694E-5</v>
      </c>
      <c r="HV32" s="21" t="b">
        <f t="shared" si="81"/>
        <v>1</v>
      </c>
      <c r="HW32" s="21" t="b">
        <f t="shared" si="82"/>
        <v>1</v>
      </c>
      <c r="HX32" s="21" t="b">
        <f t="shared" si="83"/>
        <v>1</v>
      </c>
      <c r="HY32" s="21" t="b">
        <f t="shared" si="84"/>
        <v>1</v>
      </c>
      <c r="HZ32" s="21" t="b">
        <f t="shared" si="85"/>
        <v>1</v>
      </c>
      <c r="IA32" s="21" t="b">
        <f t="shared" si="86"/>
        <v>1</v>
      </c>
      <c r="IB32" s="21" t="b">
        <f t="shared" si="87"/>
        <v>1</v>
      </c>
      <c r="IC32" s="21" t="b">
        <f t="shared" si="88"/>
        <v>1</v>
      </c>
      <c r="ID32" s="21" t="b">
        <f t="shared" si="89"/>
        <v>1</v>
      </c>
      <c r="IE32" s="21" t="b">
        <f t="shared" si="90"/>
        <v>1</v>
      </c>
      <c r="IF32" s="21" t="b">
        <f t="shared" si="91"/>
        <v>1</v>
      </c>
      <c r="IG32" s="21" t="b">
        <f t="shared" si="92"/>
        <v>1</v>
      </c>
      <c r="IH32" s="21" t="b">
        <f t="shared" si="93"/>
        <v>1</v>
      </c>
      <c r="II32" s="21" t="b">
        <f t="shared" si="94"/>
        <v>1</v>
      </c>
      <c r="IJ32" s="21" t="b">
        <f t="shared" si="95"/>
        <v>1</v>
      </c>
      <c r="IK32" s="21" t="b">
        <f t="shared" si="96"/>
        <v>1</v>
      </c>
      <c r="IM32" s="21" t="b">
        <f t="shared" si="97"/>
        <v>1</v>
      </c>
      <c r="IN32" s="21" t="b">
        <f t="shared" si="98"/>
        <v>1</v>
      </c>
      <c r="IO32" s="21" t="b">
        <f t="shared" si="99"/>
        <v>1</v>
      </c>
      <c r="IP32" s="21" t="b">
        <f t="shared" si="100"/>
        <v>1</v>
      </c>
      <c r="IQ32" s="21" t="b">
        <f t="shared" si="101"/>
        <v>1</v>
      </c>
      <c r="IR32" s="21" t="b">
        <f t="shared" si="102"/>
        <v>1</v>
      </c>
      <c r="IS32" s="21" t="b">
        <f t="shared" si="103"/>
        <v>1</v>
      </c>
      <c r="IT32" s="21" t="b">
        <f t="shared" si="104"/>
        <v>1</v>
      </c>
      <c r="IU32" s="21" t="b">
        <f t="shared" si="105"/>
        <v>1</v>
      </c>
      <c r="IV32" s="21" t="b">
        <f t="shared" si="106"/>
        <v>1</v>
      </c>
      <c r="IW32" s="21" t="b">
        <f t="shared" si="107"/>
        <v>1</v>
      </c>
      <c r="IX32" s="21" t="b">
        <f t="shared" si="108"/>
        <v>1</v>
      </c>
      <c r="IY32" s="21" t="b">
        <f t="shared" si="109"/>
        <v>1</v>
      </c>
      <c r="IZ32" s="21" t="b">
        <f t="shared" si="110"/>
        <v>1</v>
      </c>
      <c r="JA32" s="21" t="b">
        <f t="shared" si="111"/>
        <v>1</v>
      </c>
      <c r="JB32" s="21" t="b">
        <f t="shared" si="112"/>
        <v>1</v>
      </c>
    </row>
    <row r="33" spans="1:262" x14ac:dyDescent="0.25">
      <c r="A33" t="s">
        <v>76</v>
      </c>
      <c r="B33" s="2">
        <v>43100</v>
      </c>
      <c r="C33" s="22"/>
      <c r="D33" s="18"/>
      <c r="E33" s="11"/>
      <c r="F33" s="26">
        <v>2983.7957552422095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0"/>
      <c r="W33" s="26">
        <v>229.89268781333331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10"/>
      <c r="AN33" s="26">
        <v>786.06273291339312</v>
      </c>
      <c r="AO33" s="26">
        <v>790.43727091355208</v>
      </c>
      <c r="AP33" s="26">
        <v>534.13647022213854</v>
      </c>
      <c r="AQ33" s="26">
        <v>1837.1301336215356</v>
      </c>
      <c r="AR33" s="26">
        <v>2729.5611503980931</v>
      </c>
      <c r="AS33" s="26">
        <v>23.22297011789599</v>
      </c>
      <c r="AT33" s="26">
        <v>1732.8822186017496</v>
      </c>
      <c r="AU33" s="26">
        <v>21.664361251189767</v>
      </c>
      <c r="AV33" s="26">
        <v>21.142548823709131</v>
      </c>
      <c r="AW33" s="26">
        <v>96.443215156065165</v>
      </c>
      <c r="AX33" s="26">
        <v>20.888440660230614</v>
      </c>
      <c r="AY33" s="26">
        <v>15.297096241774396</v>
      </c>
      <c r="AZ33" s="26">
        <v>10.095672363133271</v>
      </c>
      <c r="BA33" s="26">
        <v>5.0470299052901062</v>
      </c>
      <c r="BB33" s="26">
        <v>203.00708067495728</v>
      </c>
      <c r="BC33" s="26">
        <v>175.92510159031437</v>
      </c>
      <c r="BD33" s="10"/>
      <c r="BE33" s="26">
        <v>3779.5983560347413</v>
      </c>
      <c r="BF33" s="26">
        <v>2856.2061383497007</v>
      </c>
      <c r="BG33" s="26">
        <v>2254.2689081823587</v>
      </c>
      <c r="BH33" s="26">
        <v>6961.7530652024843</v>
      </c>
      <c r="BI33" s="26">
        <v>7998.3047830148407</v>
      </c>
      <c r="BJ33" s="26">
        <v>11916.419349425463</v>
      </c>
      <c r="BK33" s="26">
        <v>6125.507613200265</v>
      </c>
      <c r="BL33" s="26">
        <v>3570.083070047398</v>
      </c>
      <c r="BM33" s="26">
        <v>3144.2639392667811</v>
      </c>
      <c r="BN33" s="26">
        <v>2940.2563348080544</v>
      </c>
      <c r="BO33" s="26">
        <v>2229.1869857194652</v>
      </c>
      <c r="BP33" s="26">
        <v>1780.8976693545105</v>
      </c>
      <c r="BQ33" s="26">
        <v>880.69063746257916</v>
      </c>
      <c r="BR33" s="26">
        <v>704.50407205476267</v>
      </c>
      <c r="BS33" s="26">
        <v>2404.1013946751068</v>
      </c>
      <c r="BT33" s="26">
        <v>2.6233337352082313</v>
      </c>
      <c r="BU33" s="10"/>
      <c r="BV33" s="26">
        <v>17068.363105592205</v>
      </c>
      <c r="BW33" s="26">
        <v>1132.022280079495</v>
      </c>
      <c r="BX33" s="26">
        <v>2697.6128964390577</v>
      </c>
      <c r="BY33" s="26">
        <v>1867.2452931080234</v>
      </c>
      <c r="BZ33" s="26">
        <v>1763.8890234371597</v>
      </c>
      <c r="CA33" s="26">
        <v>5172.3126563557698</v>
      </c>
      <c r="CB33" s="26">
        <v>4077.0263797339167</v>
      </c>
      <c r="CC33" s="26">
        <v>5445.7682808219261</v>
      </c>
      <c r="CD33" s="26">
        <v>2446.5312860818999</v>
      </c>
      <c r="CE33" s="26">
        <v>38.7285868815123</v>
      </c>
      <c r="CF33" s="26">
        <v>38.622771070360628</v>
      </c>
      <c r="CG33" s="26">
        <v>38.622771070360628</v>
      </c>
      <c r="CH33" s="26">
        <v>38.622771070360628</v>
      </c>
      <c r="CI33" s="26">
        <v>4332.2743730370239</v>
      </c>
      <c r="CJ33" s="26">
        <v>9.0877186377005372E-5</v>
      </c>
      <c r="CK33" s="26">
        <v>9.0902070601095477E-5</v>
      </c>
      <c r="CL33" s="10"/>
      <c r="CM33" s="26">
        <v>-2.9943500000000007E-3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10"/>
      <c r="DD33" s="26">
        <v>150.13064548901821</v>
      </c>
      <c r="DE33" s="26">
        <v>58.408668130701614</v>
      </c>
      <c r="DF33" s="26">
        <v>5.8500261854501403</v>
      </c>
      <c r="DG33" s="26">
        <v>26.856488964783999</v>
      </c>
      <c r="DH33" s="26">
        <v>152.41554983148814</v>
      </c>
      <c r="DI33" s="26">
        <v>94.605429496781312</v>
      </c>
      <c r="DJ33" s="26">
        <v>95.015966598058853</v>
      </c>
      <c r="DK33" s="26">
        <v>59.589408188100919</v>
      </c>
      <c r="DL33" s="26">
        <v>31.806630589336471</v>
      </c>
      <c r="DM33" s="26">
        <v>23.255693920149604</v>
      </c>
      <c r="DN33" s="26">
        <v>38.360111232833738</v>
      </c>
      <c r="DO33" s="26">
        <v>9.902453285232389E-16</v>
      </c>
      <c r="DP33" s="26">
        <v>9.902453285232389E-16</v>
      </c>
      <c r="DQ33" s="26">
        <v>9.902453285232389E-16</v>
      </c>
      <c r="DR33" s="26">
        <v>9.910592287932575E-15</v>
      </c>
      <c r="DS33" s="26">
        <v>9.9078792870325109E-15</v>
      </c>
      <c r="DT33" s="10"/>
      <c r="DU33" s="26">
        <v>56.916773257321601</v>
      </c>
      <c r="DV33" s="26">
        <v>10.843631379297147</v>
      </c>
      <c r="DW33" s="26">
        <v>10.029158143678536</v>
      </c>
      <c r="DX33" s="26">
        <v>37.538825863584933</v>
      </c>
      <c r="DY33" s="26">
        <v>175.19588064902101</v>
      </c>
      <c r="DZ33" s="26">
        <v>269.27644553911341</v>
      </c>
      <c r="EA33" s="26">
        <v>137.4979607528206</v>
      </c>
      <c r="EB33" s="26">
        <v>118.10946482243573</v>
      </c>
      <c r="EC33" s="26">
        <v>89.849168563572604</v>
      </c>
      <c r="ED33" s="26">
        <v>68.225821503084347</v>
      </c>
      <c r="EE33" s="26">
        <v>977.43688174512079</v>
      </c>
      <c r="EF33" s="26">
        <v>169.88493060252478</v>
      </c>
      <c r="EG33" s="26">
        <v>198.63987274315286</v>
      </c>
      <c r="EH33" s="26">
        <v>146.9651717971434</v>
      </c>
      <c r="EI33" s="26">
        <v>2188.2926676053635</v>
      </c>
      <c r="EJ33" s="26">
        <v>0</v>
      </c>
      <c r="EK33" s="10"/>
      <c r="EL33" s="26">
        <v>1.086111111111111</v>
      </c>
      <c r="EM33" s="26">
        <v>2.2281122222222214</v>
      </c>
      <c r="EN33" s="26">
        <v>2.80078125</v>
      </c>
      <c r="EO33" s="26">
        <v>172.95102005555555</v>
      </c>
      <c r="EP33" s="26">
        <v>170.32953966666665</v>
      </c>
      <c r="EQ33" s="26">
        <v>33.897164722222215</v>
      </c>
      <c r="ER33" s="26">
        <v>33.990033666666662</v>
      </c>
      <c r="ES33" s="26">
        <v>183.89716472222221</v>
      </c>
      <c r="ET33" s="26">
        <v>422.87112305555559</v>
      </c>
      <c r="EU33" s="26">
        <v>0.94577583333333326</v>
      </c>
      <c r="EV33" s="26">
        <v>0.94836699999999985</v>
      </c>
      <c r="EW33" s="26">
        <v>0.94577583333333326</v>
      </c>
      <c r="EX33" s="26">
        <v>0.94577583333333326</v>
      </c>
      <c r="EY33" s="26">
        <v>15.469001166666665</v>
      </c>
      <c r="EZ33" s="26">
        <v>0</v>
      </c>
      <c r="FA33" s="26">
        <v>0</v>
      </c>
      <c r="FB33" s="10"/>
      <c r="FC33" s="26">
        <v>0</v>
      </c>
      <c r="FD33" s="26">
        <v>0</v>
      </c>
      <c r="FE33" s="26">
        <v>0</v>
      </c>
      <c r="FF33" s="26">
        <v>0</v>
      </c>
      <c r="FG33" s="26">
        <v>0</v>
      </c>
      <c r="FH33" s="26">
        <v>0</v>
      </c>
      <c r="FI33" s="26">
        <v>0</v>
      </c>
      <c r="FJ33" s="26">
        <v>0</v>
      </c>
      <c r="FK33" s="26">
        <v>0</v>
      </c>
      <c r="FL33" s="26">
        <v>0</v>
      </c>
      <c r="FM33" s="26">
        <v>0</v>
      </c>
      <c r="FN33" s="26">
        <v>0</v>
      </c>
      <c r="FO33" s="26">
        <v>0</v>
      </c>
      <c r="FP33" s="26">
        <v>0</v>
      </c>
      <c r="FQ33" s="26">
        <v>0</v>
      </c>
      <c r="FR33" s="26">
        <v>0</v>
      </c>
      <c r="FS33" s="10"/>
      <c r="FT33" s="26">
        <v>2.6694965333333331</v>
      </c>
      <c r="FU33" s="26">
        <v>3.1243096499999989</v>
      </c>
      <c r="FV33" s="26">
        <v>0</v>
      </c>
      <c r="FW33" s="26">
        <v>5.6338939874999996</v>
      </c>
      <c r="FX33" s="26">
        <v>11.558596099999997</v>
      </c>
      <c r="FY33" s="26">
        <v>22.986296270833328</v>
      </c>
      <c r="FZ33" s="26">
        <v>440.27993261250003</v>
      </c>
      <c r="GA33" s="26">
        <v>0</v>
      </c>
      <c r="GB33" s="26">
        <v>0</v>
      </c>
      <c r="GC33" s="26">
        <v>0</v>
      </c>
      <c r="GD33" s="26">
        <v>0</v>
      </c>
      <c r="GE33" s="26">
        <v>0</v>
      </c>
      <c r="GF33" s="26">
        <v>0</v>
      </c>
      <c r="GG33" s="26">
        <v>0</v>
      </c>
      <c r="GH33" s="26">
        <v>0</v>
      </c>
      <c r="GI33" s="26">
        <v>0</v>
      </c>
      <c r="GJ33" s="10"/>
      <c r="GK33" s="26">
        <v>7779.3495320036773</v>
      </c>
      <c r="GL33" s="26">
        <v>3646.6434092632526</v>
      </c>
      <c r="GM33" s="26">
        <v>2788.4053784044972</v>
      </c>
      <c r="GN33" s="26">
        <v>8798.8831988240199</v>
      </c>
      <c r="GO33" s="26">
        <v>10727.865933412933</v>
      </c>
      <c r="GP33" s="26">
        <v>11939.64231954336</v>
      </c>
      <c r="GQ33" s="26">
        <v>7858.3898318020147</v>
      </c>
      <c r="GR33" s="26">
        <v>3591.7474312985878</v>
      </c>
      <c r="GS33" s="26">
        <v>3165.4064880904903</v>
      </c>
      <c r="GT33" s="26">
        <v>3036.6995499641193</v>
      </c>
      <c r="GU33" s="26">
        <v>2250.0754263796957</v>
      </c>
      <c r="GV33" s="26">
        <v>1796.1947655962849</v>
      </c>
      <c r="GW33" s="26">
        <v>890.78630982571246</v>
      </c>
      <c r="GX33" s="26">
        <v>709.55110196005273</v>
      </c>
      <c r="GY33" s="26">
        <v>2607.1084753500641</v>
      </c>
      <c r="GZ33" s="26">
        <v>178.5484353255226</v>
      </c>
      <c r="HB33" s="26">
        <v>17276.493641099656</v>
      </c>
      <c r="HC33" s="26">
        <v>1203.5026918117162</v>
      </c>
      <c r="HD33" s="26">
        <v>2716.2928620181865</v>
      </c>
      <c r="HE33" s="26">
        <v>2104.5916279919475</v>
      </c>
      <c r="HF33" s="26">
        <v>2261.8299935843356</v>
      </c>
      <c r="HG33" s="26">
        <v>5570.0916961138873</v>
      </c>
      <c r="HH33" s="26">
        <v>4343.530340751463</v>
      </c>
      <c r="HI33" s="26">
        <v>5807.3643185546853</v>
      </c>
      <c r="HJ33" s="26">
        <v>2991.0582082903647</v>
      </c>
      <c r="HK33" s="26">
        <v>131.15587813807957</v>
      </c>
      <c r="HL33" s="26">
        <v>1055.368131048315</v>
      </c>
      <c r="HM33" s="26">
        <v>209.45347750621872</v>
      </c>
      <c r="HN33" s="26">
        <v>238.20841964684681</v>
      </c>
      <c r="HO33" s="26">
        <v>4494.7085460008348</v>
      </c>
      <c r="HP33" s="26">
        <v>2188.2927584825497</v>
      </c>
      <c r="HQ33" s="26">
        <v>9.090207061100335E-5</v>
      </c>
      <c r="HV33" s="21" t="b">
        <f t="shared" si="81"/>
        <v>1</v>
      </c>
      <c r="HW33" s="21" t="b">
        <f t="shared" si="82"/>
        <v>1</v>
      </c>
      <c r="HX33" s="21" t="b">
        <f t="shared" si="83"/>
        <v>1</v>
      </c>
      <c r="HY33" s="21" t="b">
        <f t="shared" si="84"/>
        <v>1</v>
      </c>
      <c r="HZ33" s="21" t="b">
        <f t="shared" si="85"/>
        <v>1</v>
      </c>
      <c r="IA33" s="21" t="b">
        <f t="shared" si="86"/>
        <v>1</v>
      </c>
      <c r="IB33" s="21" t="b">
        <f t="shared" si="87"/>
        <v>1</v>
      </c>
      <c r="IC33" s="21" t="b">
        <f t="shared" si="88"/>
        <v>1</v>
      </c>
      <c r="ID33" s="21" t="b">
        <f t="shared" si="89"/>
        <v>1</v>
      </c>
      <c r="IE33" s="21" t="b">
        <f t="shared" si="90"/>
        <v>1</v>
      </c>
      <c r="IF33" s="21" t="b">
        <f t="shared" si="91"/>
        <v>1</v>
      </c>
      <c r="IG33" s="21" t="b">
        <f t="shared" si="92"/>
        <v>1</v>
      </c>
      <c r="IH33" s="21" t="b">
        <f t="shared" si="93"/>
        <v>1</v>
      </c>
      <c r="II33" s="21" t="b">
        <f t="shared" si="94"/>
        <v>1</v>
      </c>
      <c r="IJ33" s="21" t="b">
        <f t="shared" si="95"/>
        <v>1</v>
      </c>
      <c r="IK33" s="21" t="b">
        <f t="shared" si="96"/>
        <v>1</v>
      </c>
      <c r="IM33" s="21" t="b">
        <f t="shared" si="97"/>
        <v>1</v>
      </c>
      <c r="IN33" s="21" t="b">
        <f t="shared" si="98"/>
        <v>1</v>
      </c>
      <c r="IO33" s="21" t="b">
        <f t="shared" si="99"/>
        <v>1</v>
      </c>
      <c r="IP33" s="21" t="b">
        <f t="shared" si="100"/>
        <v>1</v>
      </c>
      <c r="IQ33" s="21" t="b">
        <f t="shared" si="101"/>
        <v>1</v>
      </c>
      <c r="IR33" s="21" t="b">
        <f t="shared" si="102"/>
        <v>1</v>
      </c>
      <c r="IS33" s="21" t="b">
        <f t="shared" si="103"/>
        <v>1</v>
      </c>
      <c r="IT33" s="21" t="b">
        <f t="shared" si="104"/>
        <v>1</v>
      </c>
      <c r="IU33" s="21" t="b">
        <f t="shared" si="105"/>
        <v>1</v>
      </c>
      <c r="IV33" s="21" t="b">
        <f t="shared" si="106"/>
        <v>1</v>
      </c>
      <c r="IW33" s="21" t="b">
        <f t="shared" si="107"/>
        <v>1</v>
      </c>
      <c r="IX33" s="21" t="b">
        <f t="shared" si="108"/>
        <v>1</v>
      </c>
      <c r="IY33" s="21" t="b">
        <f t="shared" si="109"/>
        <v>1</v>
      </c>
      <c r="IZ33" s="21" t="b">
        <f t="shared" si="110"/>
        <v>1</v>
      </c>
      <c r="JA33" s="21" t="b">
        <f t="shared" si="111"/>
        <v>1</v>
      </c>
      <c r="JB33" s="21" t="b">
        <f t="shared" si="112"/>
        <v>1</v>
      </c>
    </row>
    <row r="34" spans="1:262" x14ac:dyDescent="0.25">
      <c r="E34" s="11"/>
      <c r="W34" s="18"/>
      <c r="HY34" s="21"/>
    </row>
    <row r="35" spans="1:262" x14ac:dyDescent="0.25">
      <c r="E35" s="11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62" x14ac:dyDescent="0.25">
      <c r="C36" s="22"/>
      <c r="E36" s="11"/>
    </row>
    <row r="37" spans="1:262" x14ac:dyDescent="0.25">
      <c r="C37" s="30"/>
      <c r="E37" s="11"/>
    </row>
    <row r="38" spans="1:262" x14ac:dyDescent="0.25">
      <c r="C38" s="30"/>
      <c r="E38" s="11"/>
    </row>
    <row r="39" spans="1:262" x14ac:dyDescent="0.25">
      <c r="C39" s="30"/>
      <c r="E39" s="11"/>
    </row>
    <row r="40" spans="1:262" x14ac:dyDescent="0.25">
      <c r="C40" s="30"/>
      <c r="E40" s="11"/>
    </row>
    <row r="41" spans="1:262" x14ac:dyDescent="0.25">
      <c r="C41" s="30"/>
      <c r="E41" s="11"/>
    </row>
    <row r="42" spans="1:262" x14ac:dyDescent="0.25">
      <c r="C42" s="30"/>
      <c r="E42" s="11"/>
    </row>
    <row r="43" spans="1:262" x14ac:dyDescent="0.25">
      <c r="C43" s="30"/>
      <c r="E43" s="11"/>
    </row>
    <row r="44" spans="1:262" x14ac:dyDescent="0.25">
      <c r="C44" s="30"/>
      <c r="E44" s="11"/>
    </row>
    <row r="45" spans="1:262" x14ac:dyDescent="0.25">
      <c r="C45" s="30"/>
      <c r="E45" s="11"/>
    </row>
    <row r="46" spans="1:262" x14ac:dyDescent="0.25">
      <c r="C46" s="30"/>
      <c r="E46" s="11"/>
    </row>
    <row r="47" spans="1:262" x14ac:dyDescent="0.25">
      <c r="C47" s="30"/>
      <c r="E47" s="11"/>
    </row>
    <row r="48" spans="1:262" x14ac:dyDescent="0.25">
      <c r="C48" s="30"/>
      <c r="E48" s="11"/>
    </row>
    <row r="49" spans="3:225" x14ac:dyDescent="0.25">
      <c r="C49" s="30"/>
      <c r="E49" s="11"/>
    </row>
    <row r="50" spans="3:225" x14ac:dyDescent="0.25">
      <c r="C50" s="30"/>
      <c r="E50" s="11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  <c r="GG50" s="18"/>
      <c r="GH50" s="18"/>
      <c r="GI50" s="18"/>
      <c r="GJ50" s="18"/>
      <c r="GK50" s="18"/>
      <c r="GL50" s="18"/>
      <c r="GM50" s="18"/>
      <c r="GN50" s="18"/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</row>
    <row r="51" spans="3:225" x14ac:dyDescent="0.25">
      <c r="C51" s="30"/>
      <c r="E51" s="11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</row>
    <row r="52" spans="3:225" x14ac:dyDescent="0.25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</row>
    <row r="53" spans="3:225" x14ac:dyDescent="0.25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</row>
    <row r="54" spans="3:225" x14ac:dyDescent="0.25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</row>
    <row r="55" spans="3:225" x14ac:dyDescent="0.25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</row>
    <row r="56" spans="3:225" x14ac:dyDescent="0.25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</row>
    <row r="57" spans="3:225" x14ac:dyDescent="0.25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</row>
    <row r="58" spans="3:225" x14ac:dyDescent="0.25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</row>
    <row r="59" spans="3:225" x14ac:dyDescent="0.25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</row>
    <row r="60" spans="3:225" x14ac:dyDescent="0.25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</row>
    <row r="61" spans="3:225" x14ac:dyDescent="0.25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</row>
    <row r="62" spans="3:225" x14ac:dyDescent="0.25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</row>
    <row r="63" spans="3:225" x14ac:dyDescent="0.25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</row>
    <row r="64" spans="3:225" x14ac:dyDescent="0.25">
      <c r="F64" s="18"/>
    </row>
    <row r="65" spans="6:6" x14ac:dyDescent="0.25">
      <c r="F65" s="18"/>
    </row>
    <row r="66" spans="6:6" x14ac:dyDescent="0.25">
      <c r="F66" s="18"/>
    </row>
    <row r="67" spans="6:6" x14ac:dyDescent="0.25">
      <c r="F67" s="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apForecast">
                <anchor moveWithCells="1" sizeWithCells="1">
                  <from>
                    <xdr:col>5</xdr:col>
                    <xdr:colOff>247650</xdr:colOff>
                    <xdr:row>1</xdr:row>
                    <xdr:rowOff>0</xdr:rowOff>
                  </from>
                  <to>
                    <xdr:col>6</xdr:col>
                    <xdr:colOff>466725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5"/>
  <sheetViews>
    <sheetView workbookViewId="0">
      <selection activeCell="D3" sqref="D3:D15"/>
    </sheetView>
  </sheetViews>
  <sheetFormatPr defaultColWidth="11.42578125" defaultRowHeight="15" x14ac:dyDescent="0.25"/>
  <cols>
    <col min="3" max="3" width="23.7109375" bestFit="1" customWidth="1"/>
  </cols>
  <sheetData>
    <row r="3" spans="1:4" x14ac:dyDescent="0.25">
      <c r="A3">
        <v>1</v>
      </c>
      <c r="B3" t="s">
        <v>77</v>
      </c>
      <c r="C3" t="s">
        <v>47</v>
      </c>
      <c r="D3" t="str">
        <f>+B3&amp;"("&amp;A3&amp;")="&amp;""""&amp;C3&amp;""""</f>
        <v>sListProduct(1)="Disponible"</v>
      </c>
    </row>
    <row r="4" spans="1:4" x14ac:dyDescent="0.25">
      <c r="A4">
        <f>+A3+1</f>
        <v>2</v>
      </c>
      <c r="B4" t="s">
        <v>77</v>
      </c>
      <c r="C4" t="s">
        <v>48</v>
      </c>
      <c r="D4" t="str">
        <f t="shared" ref="D4:D15" si="0">+B4&amp;"("&amp;A4&amp;")="&amp;""""&amp;C4&amp;""""</f>
        <v>sListProduct(2)="Interbancarios Otorgados"</v>
      </c>
    </row>
    <row r="5" spans="1:4" x14ac:dyDescent="0.25">
      <c r="A5">
        <f t="shared" ref="A5:A15" si="1">+A4+1</f>
        <v>3</v>
      </c>
      <c r="B5" t="s">
        <v>77</v>
      </c>
      <c r="C5" t="s">
        <v>49</v>
      </c>
      <c r="D5" t="str">
        <f t="shared" si="0"/>
        <v>sListProduct(3)="Inversiones"</v>
      </c>
    </row>
    <row r="6" spans="1:4" x14ac:dyDescent="0.25">
      <c r="A6">
        <f t="shared" si="1"/>
        <v>4</v>
      </c>
      <c r="B6" t="s">
        <v>77</v>
      </c>
      <c r="C6" t="s">
        <v>50</v>
      </c>
      <c r="D6" t="str">
        <f t="shared" si="0"/>
        <v>sListProduct(4)="Creditos"</v>
      </c>
    </row>
    <row r="7" spans="1:4" x14ac:dyDescent="0.25">
      <c r="A7">
        <f t="shared" si="1"/>
        <v>5</v>
      </c>
      <c r="B7" t="s">
        <v>77</v>
      </c>
      <c r="C7" t="s">
        <v>51</v>
      </c>
      <c r="D7" t="str">
        <f t="shared" si="0"/>
        <v>sListProduct(5)="Obligaciones Pubico"</v>
      </c>
    </row>
    <row r="8" spans="1:4" x14ac:dyDescent="0.25">
      <c r="A8">
        <f t="shared" si="1"/>
        <v>6</v>
      </c>
      <c r="B8" t="s">
        <v>77</v>
      </c>
      <c r="C8" t="s">
        <v>52</v>
      </c>
      <c r="D8" t="str">
        <f t="shared" si="0"/>
        <v>sListProduct(6)="Interbancarios Recibidos"</v>
      </c>
    </row>
    <row r="9" spans="1:4" x14ac:dyDescent="0.25">
      <c r="A9">
        <f t="shared" si="1"/>
        <v>7</v>
      </c>
      <c r="B9" t="s">
        <v>77</v>
      </c>
      <c r="C9" t="s">
        <v>53</v>
      </c>
      <c r="D9" t="str">
        <f t="shared" si="0"/>
        <v>sListProduct(7)="Depositos Sistema Financ"</v>
      </c>
    </row>
    <row r="10" spans="1:4" x14ac:dyDescent="0.25">
      <c r="A10">
        <f t="shared" si="1"/>
        <v>8</v>
      </c>
      <c r="B10" t="s">
        <v>77</v>
      </c>
      <c r="C10" t="s">
        <v>54</v>
      </c>
      <c r="D10" t="str">
        <f t="shared" si="0"/>
        <v>sListProduct(8)="Adeudados"</v>
      </c>
    </row>
    <row r="11" spans="1:4" x14ac:dyDescent="0.25">
      <c r="A11">
        <f t="shared" si="1"/>
        <v>9</v>
      </c>
      <c r="B11" t="s">
        <v>77</v>
      </c>
      <c r="C11" t="s">
        <v>55</v>
      </c>
      <c r="D11" t="str">
        <f t="shared" si="0"/>
        <v>sListProduct(9)="Valores en Circulacion"</v>
      </c>
    </row>
    <row r="12" spans="1:4" x14ac:dyDescent="0.25">
      <c r="A12">
        <f t="shared" si="1"/>
        <v>10</v>
      </c>
      <c r="B12" t="s">
        <v>77</v>
      </c>
      <c r="C12" t="s">
        <v>56</v>
      </c>
      <c r="D12" t="str">
        <f t="shared" si="0"/>
        <v>sListProduct(10)="Total Deriv.Deudor"</v>
      </c>
    </row>
    <row r="13" spans="1:4" x14ac:dyDescent="0.25">
      <c r="A13">
        <f t="shared" si="1"/>
        <v>11</v>
      </c>
      <c r="B13" t="s">
        <v>77</v>
      </c>
      <c r="C13" t="s">
        <v>57</v>
      </c>
      <c r="D13" t="str">
        <f t="shared" si="0"/>
        <v>sListProduct(11)="Total Deriv.Acreedor"</v>
      </c>
    </row>
    <row r="14" spans="1:4" x14ac:dyDescent="0.25">
      <c r="A14">
        <f t="shared" si="1"/>
        <v>12</v>
      </c>
      <c r="B14" t="s">
        <v>77</v>
      </c>
      <c r="C14" t="s">
        <v>58</v>
      </c>
      <c r="D14" t="str">
        <f t="shared" si="0"/>
        <v>sListProduct(12)="Total Activos"</v>
      </c>
    </row>
    <row r="15" spans="1:4" x14ac:dyDescent="0.25">
      <c r="A15">
        <f t="shared" si="1"/>
        <v>13</v>
      </c>
      <c r="B15" t="s">
        <v>77</v>
      </c>
      <c r="C15" t="s">
        <v>59</v>
      </c>
      <c r="D15" t="str">
        <f t="shared" si="0"/>
        <v>sListProduct(13)="Total Pasivos"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Parametros</vt:lpstr>
      <vt:lpstr>Datos</vt:lpstr>
      <vt:lpstr>ME</vt:lpstr>
      <vt:lpstr>MN</vt:lpstr>
      <vt:lpstr>Hoja1</vt:lpstr>
      <vt:lpstr>SOB</vt:lpstr>
      <vt:lpstr>buckets_label</vt:lpstr>
      <vt:lpstr>buckets_num</vt:lpstr>
      <vt:lpstr>gap_me</vt:lpstr>
      <vt:lpstr>gap_mn</vt:lpstr>
      <vt:lpstr>pe</vt:lpstr>
      <vt:lpstr>scen</vt:lpstr>
      <vt:lpstr>tc</vt:lpstr>
      <vt:lpstr>tt_me</vt:lpstr>
      <vt:lpstr>tt_mn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glezma</dc:creator>
  <cp:lastModifiedBy>Gonzalo Lezma</cp:lastModifiedBy>
  <dcterms:created xsi:type="dcterms:W3CDTF">2014-06-13T04:05:33Z</dcterms:created>
  <dcterms:modified xsi:type="dcterms:W3CDTF">2016-04-29T06:34:29Z</dcterms:modified>
</cp:coreProperties>
</file>